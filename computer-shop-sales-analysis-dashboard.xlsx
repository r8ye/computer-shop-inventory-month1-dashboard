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DMIN\Desktop\Excel Dashboards\"/>
    </mc:Choice>
  </mc:AlternateContent>
  <xr:revisionPtr revIDLastSave="0" documentId="8_{AA95C6F8-03D8-4897-B722-A0232DB07931}" xr6:coauthVersionLast="47" xr6:coauthVersionMax="47" xr10:uidLastSave="{00000000-0000-0000-0000-000000000000}"/>
  <bookViews>
    <workbookView xWindow="-120" yWindow="-120" windowWidth="29040" windowHeight="15840" activeTab="2" xr2:uid="{8DC304AD-6770-4378-A162-7A2118FA42BA}"/>
  </bookViews>
  <sheets>
    <sheet name="Working Sheet" sheetId="1" r:id="rId1"/>
    <sheet name="Pivot Tables" sheetId="2" r:id="rId2"/>
    <sheet name="Dashboard" sheetId="3" r:id="rId3"/>
  </sheets>
  <definedNames>
    <definedName name="_xlnm._FilterDatabase" localSheetId="0" hidden="1">'Working Sheet'!$A$1:$M$47</definedName>
    <definedName name="Slicer_Category">#N/A</definedName>
    <definedName name="Slicer_Product">#N/A</definedName>
    <definedName name="Slic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2" i="1" l="1"/>
  <c r="S2" i="1"/>
  <c r="P2" i="1"/>
  <c r="G6" i="1"/>
  <c r="J6" i="1" s="1"/>
  <c r="L22" i="1"/>
  <c r="M22" i="1" s="1" a="1"/>
  <c r="M22" i="1" s="1"/>
  <c r="L16" i="1"/>
  <c r="M16" i="1" s="1" a="1"/>
  <c r="M16" i="1" s="1"/>
  <c r="L30" i="1"/>
  <c r="M30" i="1" s="1" a="1"/>
  <c r="M30" i="1" s="1"/>
  <c r="L6" i="1"/>
  <c r="M6" i="1" s="1" a="1"/>
  <c r="M6" i="1" s="1"/>
  <c r="L15" i="1"/>
  <c r="M15" i="1" s="1" a="1"/>
  <c r="M15" i="1" s="1"/>
  <c r="L18" i="1"/>
  <c r="M18" i="1" s="1" a="1"/>
  <c r="M18" i="1" s="1"/>
  <c r="L2" i="1"/>
  <c r="M2" i="1" s="1" a="1"/>
  <c r="M2" i="1" s="1"/>
  <c r="L11" i="1"/>
  <c r="M11" i="1" s="1" a="1"/>
  <c r="M11" i="1" s="1"/>
  <c r="L24" i="1"/>
  <c r="M24" i="1" s="1" a="1"/>
  <c r="M24" i="1" s="1"/>
  <c r="L3" i="1"/>
  <c r="M3" i="1" s="1" a="1"/>
  <c r="M3" i="1" s="1"/>
  <c r="L35" i="1"/>
  <c r="M35" i="1" s="1" a="1"/>
  <c r="M35" i="1" s="1"/>
  <c r="L34" i="1"/>
  <c r="M34" i="1" s="1" a="1"/>
  <c r="M34" i="1" s="1"/>
  <c r="L37" i="1"/>
  <c r="M37" i="1" s="1" a="1"/>
  <c r="M37" i="1" s="1"/>
  <c r="L36" i="1"/>
  <c r="M36" i="1" s="1" a="1"/>
  <c r="M36" i="1" s="1"/>
  <c r="L32" i="1"/>
  <c r="M32" i="1" s="1" a="1"/>
  <c r="M32" i="1" s="1"/>
  <c r="L29" i="1"/>
  <c r="M29" i="1" s="1" a="1"/>
  <c r="M29" i="1" s="1"/>
  <c r="L27" i="1"/>
  <c r="M27" i="1" s="1" a="1"/>
  <c r="M27" i="1" s="1"/>
  <c r="L28" i="1"/>
  <c r="M28" i="1" s="1" a="1"/>
  <c r="M28" i="1" s="1"/>
  <c r="L26" i="1"/>
  <c r="M26" i="1" s="1" a="1"/>
  <c r="M26" i="1" s="1"/>
  <c r="L17" i="1"/>
  <c r="M17" i="1" s="1" a="1"/>
  <c r="M17" i="1" s="1"/>
  <c r="L7" i="1"/>
  <c r="M7" i="1" s="1" a="1"/>
  <c r="M7" i="1" s="1"/>
  <c r="L8" i="1"/>
  <c r="M8" i="1" s="1" a="1"/>
  <c r="M8" i="1" s="1"/>
  <c r="L20" i="1"/>
  <c r="M20" i="1" s="1" a="1"/>
  <c r="M20" i="1" s="1"/>
  <c r="L9" i="1"/>
  <c r="M9" i="1" s="1" a="1"/>
  <c r="M9" i="1" s="1"/>
  <c r="L19" i="1"/>
  <c r="M19" i="1" s="1" a="1"/>
  <c r="M19" i="1" s="1"/>
  <c r="L21" i="1"/>
  <c r="M21" i="1" s="1" a="1"/>
  <c r="M21" i="1" s="1"/>
  <c r="L23" i="1"/>
  <c r="M23" i="1" s="1" a="1"/>
  <c r="M23" i="1" s="1"/>
  <c r="L10" i="1"/>
  <c r="M10" i="1" s="1" a="1"/>
  <c r="M10" i="1" s="1"/>
  <c r="L33" i="1"/>
  <c r="M33" i="1" s="1" a="1"/>
  <c r="M33" i="1" s="1"/>
  <c r="L5" i="1"/>
  <c r="M5" i="1" s="1" a="1"/>
  <c r="M5" i="1" s="1"/>
  <c r="L39" i="1"/>
  <c r="M39" i="1" s="1" a="1"/>
  <c r="M39" i="1" s="1"/>
  <c r="L46" i="1"/>
  <c r="M46" i="1" s="1" a="1"/>
  <c r="M46" i="1" s="1"/>
  <c r="L41" i="1"/>
  <c r="M41" i="1" s="1" a="1"/>
  <c r="M41" i="1" s="1"/>
  <c r="L42" i="1"/>
  <c r="M42" i="1" s="1" a="1"/>
  <c r="M42" i="1" s="1"/>
  <c r="L4" i="1"/>
  <c r="M4" i="1" s="1" a="1"/>
  <c r="M4" i="1" s="1"/>
  <c r="L47" i="1"/>
  <c r="M47" i="1" s="1" a="1"/>
  <c r="M47" i="1" s="1"/>
  <c r="L13" i="1"/>
  <c r="M13" i="1" s="1" a="1"/>
  <c r="M13" i="1" s="1"/>
  <c r="L12" i="1"/>
  <c r="M12" i="1" s="1" a="1"/>
  <c r="M12" i="1" s="1"/>
  <c r="L43" i="1"/>
  <c r="M43" i="1" s="1" a="1"/>
  <c r="M43" i="1" s="1"/>
  <c r="L45" i="1"/>
  <c r="M45" i="1" s="1" a="1"/>
  <c r="M45" i="1" s="1"/>
  <c r="L44" i="1"/>
  <c r="M44" i="1" s="1" a="1"/>
  <c r="M44" i="1" s="1"/>
  <c r="L38" i="1"/>
  <c r="M38" i="1" s="1" a="1"/>
  <c r="M38" i="1" s="1"/>
  <c r="L31" i="1"/>
  <c r="M31" i="1" s="1" a="1"/>
  <c r="M31" i="1" s="1"/>
  <c r="L40" i="1"/>
  <c r="M40" i="1" s="1" a="1"/>
  <c r="M40" i="1" s="1"/>
  <c r="L25" i="1"/>
  <c r="M25" i="1" s="1" a="1"/>
  <c r="M25" i="1" s="1"/>
  <c r="L14" i="1"/>
  <c r="M14" i="1" s="1" a="1"/>
  <c r="M14" i="1" s="1"/>
  <c r="K16" i="1"/>
  <c r="K22" i="1"/>
  <c r="K30" i="1"/>
  <c r="K6" i="1"/>
  <c r="K15" i="1"/>
  <c r="K18" i="1"/>
  <c r="K2" i="1"/>
  <c r="Q2" i="1" s="1"/>
  <c r="K11" i="1"/>
  <c r="K24" i="1"/>
  <c r="K3" i="1"/>
  <c r="K35" i="1"/>
  <c r="K34" i="1"/>
  <c r="K37" i="1"/>
  <c r="K36" i="1"/>
  <c r="K32" i="1"/>
  <c r="K29" i="1"/>
  <c r="K27" i="1"/>
  <c r="K28" i="1"/>
  <c r="K26" i="1"/>
  <c r="K17" i="1"/>
  <c r="K7" i="1"/>
  <c r="K8" i="1"/>
  <c r="K20" i="1"/>
  <c r="K9" i="1"/>
  <c r="K19" i="1"/>
  <c r="K21" i="1"/>
  <c r="K23" i="1"/>
  <c r="K10" i="1"/>
  <c r="K33" i="1"/>
  <c r="K5" i="1"/>
  <c r="K39" i="1"/>
  <c r="K46" i="1"/>
  <c r="K41" i="1"/>
  <c r="K42" i="1"/>
  <c r="K4" i="1"/>
  <c r="K47" i="1"/>
  <c r="K13" i="1"/>
  <c r="K12" i="1"/>
  <c r="K43" i="1"/>
  <c r="K45" i="1"/>
  <c r="K44" i="1"/>
  <c r="K38" i="1"/>
  <c r="K31" i="1"/>
  <c r="K40" i="1"/>
  <c r="K25" i="1"/>
  <c r="K14" i="1"/>
  <c r="G18" i="1"/>
  <c r="I18" i="1" s="1"/>
  <c r="G16" i="1"/>
  <c r="I16" i="1" s="1"/>
  <c r="G22" i="1"/>
  <c r="I22" i="1" s="1"/>
  <c r="G30" i="1"/>
  <c r="I30" i="1" s="1"/>
  <c r="I6" i="1"/>
  <c r="G15" i="1"/>
  <c r="I15" i="1" s="1"/>
  <c r="G2" i="1"/>
  <c r="I2" i="1" s="1"/>
  <c r="G11" i="1"/>
  <c r="I11" i="1" s="1"/>
  <c r="G24" i="1"/>
  <c r="I24" i="1" s="1"/>
  <c r="G3" i="1"/>
  <c r="I3" i="1" s="1"/>
  <c r="G35" i="1"/>
  <c r="I35" i="1" s="1"/>
  <c r="G34" i="1"/>
  <c r="I34" i="1" s="1"/>
  <c r="G37" i="1"/>
  <c r="I37" i="1" s="1"/>
  <c r="G36" i="1"/>
  <c r="I36" i="1" s="1"/>
  <c r="G32" i="1"/>
  <c r="I32" i="1" s="1"/>
  <c r="G29" i="1"/>
  <c r="I29" i="1" s="1"/>
  <c r="G27" i="1"/>
  <c r="I27" i="1" s="1"/>
  <c r="G28" i="1"/>
  <c r="I28" i="1" s="1"/>
  <c r="G26" i="1"/>
  <c r="I26" i="1" s="1"/>
  <c r="G17" i="1"/>
  <c r="I17" i="1" s="1"/>
  <c r="G7" i="1"/>
  <c r="I7" i="1" s="1"/>
  <c r="G8" i="1"/>
  <c r="I8" i="1" s="1"/>
  <c r="G20" i="1"/>
  <c r="I20" i="1" s="1"/>
  <c r="G9" i="1"/>
  <c r="I9" i="1" s="1"/>
  <c r="G19" i="1"/>
  <c r="I19" i="1" s="1"/>
  <c r="G21" i="1"/>
  <c r="I21" i="1" s="1"/>
  <c r="G23" i="1"/>
  <c r="I23" i="1" s="1"/>
  <c r="G10" i="1"/>
  <c r="I10" i="1" s="1"/>
  <c r="G33" i="1"/>
  <c r="I33" i="1" s="1"/>
  <c r="G5" i="1"/>
  <c r="I5" i="1" s="1"/>
  <c r="G39" i="1"/>
  <c r="I39" i="1" s="1"/>
  <c r="G46" i="1"/>
  <c r="I46" i="1" s="1"/>
  <c r="G41" i="1"/>
  <c r="I41" i="1" s="1"/>
  <c r="G42" i="1"/>
  <c r="I42" i="1" s="1"/>
  <c r="G4" i="1"/>
  <c r="I4" i="1" s="1"/>
  <c r="G47" i="1"/>
  <c r="I47" i="1" s="1"/>
  <c r="G13" i="1"/>
  <c r="I13" i="1" s="1"/>
  <c r="G12" i="1"/>
  <c r="I12" i="1" s="1"/>
  <c r="G43" i="1"/>
  <c r="I43" i="1" s="1"/>
  <c r="G45" i="1"/>
  <c r="I45" i="1" s="1"/>
  <c r="G44" i="1"/>
  <c r="I44" i="1" s="1"/>
  <c r="G38" i="1"/>
  <c r="I38" i="1" s="1"/>
  <c r="G31" i="1"/>
  <c r="I31" i="1" s="1"/>
  <c r="G40" i="1"/>
  <c r="I40" i="1" s="1"/>
  <c r="G25" i="1"/>
  <c r="I25" i="1" s="1"/>
  <c r="G14" i="1"/>
  <c r="I14" i="1" s="1"/>
  <c r="O2" i="1" l="1"/>
  <c r="J45" i="1"/>
  <c r="J41" i="1"/>
  <c r="J5" i="1"/>
  <c r="J12" i="1"/>
  <c r="J33" i="1"/>
  <c r="J29" i="1"/>
  <c r="J3" i="1"/>
  <c r="J22" i="1"/>
  <c r="J2" i="1"/>
  <c r="R2" i="1" s="1"/>
  <c r="J18" i="1"/>
  <c r="J15" i="1"/>
  <c r="J44" i="1"/>
  <c r="J40" i="1"/>
  <c r="J38" i="1"/>
  <c r="J36" i="1"/>
  <c r="J32" i="1"/>
  <c r="J28" i="1"/>
  <c r="J25" i="1"/>
  <c r="J11" i="1"/>
  <c r="J9" i="1"/>
  <c r="J17" i="1"/>
  <c r="J7" i="1"/>
  <c r="J47" i="1"/>
  <c r="J43" i="1"/>
  <c r="J13" i="1"/>
  <c r="J4" i="1"/>
  <c r="J35" i="1"/>
  <c r="J31" i="1"/>
  <c r="J27" i="1"/>
  <c r="J24" i="1"/>
  <c r="J21" i="1"/>
  <c r="J20" i="1"/>
  <c r="J16" i="1"/>
  <c r="J14" i="1"/>
  <c r="J46" i="1"/>
  <c r="J42" i="1"/>
  <c r="J39" i="1"/>
  <c r="J37" i="1"/>
  <c r="J34" i="1"/>
  <c r="J30" i="1"/>
  <c r="J26" i="1"/>
  <c r="J23" i="1"/>
  <c r="J10" i="1"/>
  <c r="J19" i="1"/>
  <c r="J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<sst xmlns="http://schemas.openxmlformats.org/spreadsheetml/2006/main" count="203" uniqueCount="122">
  <si>
    <t>Product ID</t>
  </si>
  <si>
    <t>Category</t>
  </si>
  <si>
    <t xml:space="preserve"> Units Sold</t>
  </si>
  <si>
    <t>Sales Rate</t>
  </si>
  <si>
    <t>Status</t>
  </si>
  <si>
    <t>P105</t>
  </si>
  <si>
    <t>Smartphone</t>
  </si>
  <si>
    <t>Mobile</t>
  </si>
  <si>
    <t>Best Seller</t>
  </si>
  <si>
    <t>P103</t>
  </si>
  <si>
    <t>Keyboard</t>
  </si>
  <si>
    <t>Peripherals</t>
  </si>
  <si>
    <t>P110</t>
  </si>
  <si>
    <t>Webcam</t>
  </si>
  <si>
    <t>P114</t>
  </si>
  <si>
    <t>Ethernet Cable</t>
  </si>
  <si>
    <t>Accessories</t>
  </si>
  <si>
    <t>P113</t>
  </si>
  <si>
    <t>USB Flash Drive</t>
  </si>
  <si>
    <t>P107</t>
  </si>
  <si>
    <t>Router</t>
  </si>
  <si>
    <t>P112</t>
  </si>
  <si>
    <t>Desk Lamp</t>
  </si>
  <si>
    <t>P123</t>
  </si>
  <si>
    <t>CPU</t>
  </si>
  <si>
    <t>Computing</t>
  </si>
  <si>
    <t>P122</t>
  </si>
  <si>
    <t>Graphics Card</t>
  </si>
  <si>
    <t>P129</t>
  </si>
  <si>
    <t>PC Case</t>
  </si>
  <si>
    <t>P138</t>
  </si>
  <si>
    <t>Keyboard Cleaner</t>
  </si>
  <si>
    <t>P125</t>
  </si>
  <si>
    <t>RAM</t>
  </si>
  <si>
    <t>P101</t>
  </si>
  <si>
    <t>Laptop</t>
  </si>
  <si>
    <t>Average</t>
  </si>
  <si>
    <t>P118</t>
  </si>
  <si>
    <t>Gaming Mouse</t>
  </si>
  <si>
    <t>P127</t>
  </si>
  <si>
    <t>HDD</t>
  </si>
  <si>
    <t>P109</t>
  </si>
  <si>
    <t>Wireless Earbuds</t>
  </si>
  <si>
    <t>P108</t>
  </si>
  <si>
    <t>External Hard Drive</t>
  </si>
  <si>
    <t>P124</t>
  </si>
  <si>
    <t>Motherboard</t>
  </si>
  <si>
    <t>P115</t>
  </si>
  <si>
    <t>Power Strip</t>
  </si>
  <si>
    <t>P139</t>
  </si>
  <si>
    <t>Laptop Cooling Pad</t>
  </si>
  <si>
    <t>P142</t>
  </si>
  <si>
    <t>USB-C Adapter</t>
  </si>
  <si>
    <t>P145</t>
  </si>
  <si>
    <t>USB-C Cable</t>
  </si>
  <si>
    <t>P106</t>
  </si>
  <si>
    <t>Tablet</t>
  </si>
  <si>
    <t>P126</t>
  </si>
  <si>
    <t>SSD</t>
  </si>
  <si>
    <t>P144</t>
  </si>
  <si>
    <t>Wireless Charger</t>
  </si>
  <si>
    <t>P128</t>
  </si>
  <si>
    <t>Power Supply</t>
  </si>
  <si>
    <t>P143</t>
  </si>
  <si>
    <t>Laptop Sleeve</t>
  </si>
  <si>
    <t>P117</t>
  </si>
  <si>
    <t>Gaming Keyboard</t>
  </si>
  <si>
    <t>P121</t>
  </si>
  <si>
    <t>Gaming Monitor</t>
  </si>
  <si>
    <t>P132</t>
  </si>
  <si>
    <t>Mouse Pad</t>
  </si>
  <si>
    <t>P137</t>
  </si>
  <si>
    <t>Printer Cable</t>
  </si>
  <si>
    <t>P111</t>
  </si>
  <si>
    <t>Desk Chair</t>
  </si>
  <si>
    <t>P119</t>
  </si>
  <si>
    <t>Gaming Headset</t>
  </si>
  <si>
    <t>P135</t>
  </si>
  <si>
    <t>WiFi Adapter</t>
  </si>
  <si>
    <t>P116</t>
  </si>
  <si>
    <t>Wireless Mouse</t>
  </si>
  <si>
    <t>Dead Stock</t>
  </si>
  <si>
    <t>P120</t>
  </si>
  <si>
    <t>Gaming Chair</t>
  </si>
  <si>
    <t>P130</t>
  </si>
  <si>
    <t>CPU Cooler</t>
  </si>
  <si>
    <t>P134</t>
  </si>
  <si>
    <t>Cable Management Kit</t>
  </si>
  <si>
    <t>P136</t>
  </si>
  <si>
    <t>External DVD Drive</t>
  </si>
  <si>
    <t>P102</t>
  </si>
  <si>
    <t>Monitor</t>
  </si>
  <si>
    <t>P133</t>
  </si>
  <si>
    <t>Thermal Paste</t>
  </si>
  <si>
    <t>P141</t>
  </si>
  <si>
    <t>Anti-Glare Screen Protector</t>
  </si>
  <si>
    <t>P131</t>
  </si>
  <si>
    <t>Monitor Stand</t>
  </si>
  <si>
    <t>P146</t>
  </si>
  <si>
    <t>Gaming Desk</t>
  </si>
  <si>
    <t>P140</t>
  </si>
  <si>
    <t>USB Hub</t>
  </si>
  <si>
    <t>P104</t>
  </si>
  <si>
    <t>Headphones</t>
  </si>
  <si>
    <t>Product</t>
  </si>
  <si>
    <t>Opening Stock</t>
  </si>
  <si>
    <t>Purchase/Stock In</t>
  </si>
  <si>
    <t>Hand-In-Stock</t>
  </si>
  <si>
    <t>Cost Price /Unit</t>
  </si>
  <si>
    <t>Cost Price Total</t>
  </si>
  <si>
    <t>Revenue</t>
  </si>
  <si>
    <t>Grand Total</t>
  </si>
  <si>
    <t>Count of Product</t>
  </si>
  <si>
    <t>Sum of Sales Rate</t>
  </si>
  <si>
    <t>(Multiple Items)</t>
  </si>
  <si>
    <t>Hand-In Stock Value</t>
  </si>
  <si>
    <t xml:space="preserve">Hand-In Stock Value </t>
  </si>
  <si>
    <t xml:space="preserve">Revenue </t>
  </si>
  <si>
    <t>COMPUTER SHOP INVENTORY DASHBOARD</t>
  </si>
  <si>
    <t>Current  Stock</t>
  </si>
  <si>
    <t>Total Units Sold</t>
  </si>
  <si>
    <t>Stock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</si>
</sst>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numFmt numFmtId="165" formatCode="_(* #,##0_);_(* \(#,##0\);_(* &quot;-&quot;??_);_(@_)"/>
  </numFmts>
  <fonts count="5" x14ac:knownFonts="1">
    <font>
      <sz val="11"/>
      <color theme="1"/>
      <name val="Aptos Narrow"/>
      <family val="2"/>
      <scheme val="minor"/>
    </font>
    <font>
      <sz val="11"/>
      <color theme="1"/>
      <name val="Aptos Narrow"/>
      <family val="2"/>
      <scheme val="minor"/>
    </font>
    <font>
      <sz val="11"/>
      <color rgb="FF000000"/>
      <name val="Calibri"/>
      <family val="2"/>
    </font>
    <font>
      <sz val="12"/>
      <color rgb="FFFFFFFF"/>
      <name val="Calibri"/>
      <family val="2"/>
    </font>
    <font>
      <b/>
      <sz val="26"/>
      <color theme="0"/>
      <name val="Aptos Narrow"/>
      <family val="2"/>
      <scheme val="minor"/>
    </font>
  </fonts>
  <fills count="4">
    <fill>
      <patternFill patternType="none"/>
    </fill>
    <fill>
      <patternFill patternType="gray125"/>
    </fill>
    <fill>
      <patternFill patternType="solid">
        <fgColor rgb="FF272760"/>
        <bgColor indexed="64"/>
      </patternFill>
    </fill>
    <fill>
      <patternFill patternType="solid">
        <fgColor theme="3" tint="9.9978637043366805E-2"/>
        <bgColor indexed="64"/>
      </patternFill>
    </fill>
  </fills>
  <borders count="3">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43" fontId="1" fillId="0" borderId="0" applyFont="0" applyFill="0" applyBorder="0" applyAlignment="0" applyProtection="0"/>
  </cellStyleXfs>
  <cellXfs count="27">
    <xf numFmtId="0" fontId="0" fillId="0" borderId="0" xfId="0"/>
    <xf numFmtId="49" fontId="2" fillId="0" borderId="2" xfId="0" applyNumberFormat="1" applyFont="1" applyBorder="1" applyAlignment="1">
      <alignment vertical="center"/>
    </xf>
    <xf numFmtId="49" fontId="0" fillId="0" borderId="0" xfId="0" applyNumberFormat="1"/>
    <xf numFmtId="164" fontId="0" fillId="0" borderId="0" xfId="0" applyNumberFormat="1"/>
    <xf numFmtId="10" fontId="2" fillId="0" borderId="0" xfId="1" applyNumberFormat="1" applyFont="1" applyBorder="1" applyAlignment="1">
      <alignment vertical="center"/>
    </xf>
    <xf numFmtId="10" fontId="0" fillId="0" borderId="0" xfId="0" applyNumberFormat="1"/>
    <xf numFmtId="49" fontId="3" fillId="2" borderId="1" xfId="0" applyNumberFormat="1" applyFont="1" applyFill="1" applyBorder="1" applyAlignment="1">
      <alignment horizontal="left" vertical="center"/>
    </xf>
    <xf numFmtId="49" fontId="3" fillId="2" borderId="1" xfId="0" applyNumberFormat="1" applyFont="1" applyFill="1" applyBorder="1" applyAlignment="1">
      <alignment horizontal="left" vertical="center" wrapText="1"/>
    </xf>
    <xf numFmtId="1" fontId="3" fillId="2" borderId="1" xfId="0" applyNumberFormat="1" applyFont="1" applyFill="1" applyBorder="1" applyAlignment="1">
      <alignment horizontal="right" vertical="center" wrapText="1"/>
    </xf>
    <xf numFmtId="164" fontId="3" fillId="2" borderId="1" xfId="1" applyNumberFormat="1" applyFont="1" applyFill="1" applyBorder="1" applyAlignment="1">
      <alignment horizontal="right" vertical="center" wrapText="1"/>
    </xf>
    <xf numFmtId="10" fontId="3" fillId="2" borderId="1" xfId="1" applyNumberFormat="1" applyFont="1" applyFill="1" applyBorder="1" applyAlignment="1">
      <alignment horizontal="right" vertical="center" wrapText="1"/>
    </xf>
    <xf numFmtId="1" fontId="2" fillId="0" borderId="0" xfId="0" applyNumberFormat="1" applyFont="1" applyAlignment="1">
      <alignment horizontal="right" vertical="center"/>
    </xf>
    <xf numFmtId="164" fontId="2" fillId="0" borderId="0" xfId="1" applyNumberFormat="1" applyFont="1" applyBorder="1" applyAlignment="1">
      <alignment horizontal="right" vertical="center"/>
    </xf>
    <xf numFmtId="10" fontId="2" fillId="0" borderId="0" xfId="1" applyNumberFormat="1" applyFont="1" applyBorder="1" applyAlignment="1">
      <alignment horizontal="right" vertical="center"/>
    </xf>
    <xf numFmtId="1" fontId="2" fillId="0" borderId="2" xfId="0" applyNumberFormat="1" applyFont="1" applyBorder="1" applyAlignment="1">
      <alignment horizontal="right" vertical="center"/>
    </xf>
    <xf numFmtId="164" fontId="2" fillId="0" borderId="2" xfId="1" applyNumberFormat="1" applyFont="1" applyBorder="1" applyAlignment="1">
      <alignment horizontal="right" vertical="center"/>
    </xf>
    <xf numFmtId="1" fontId="0" fillId="0" borderId="0" xfId="0" applyNumberFormat="1" applyAlignment="1">
      <alignment horizontal="right"/>
    </xf>
    <xf numFmtId="164" fontId="0" fillId="0" borderId="0" xfId="0" applyNumberFormat="1" applyAlignment="1">
      <alignment horizontal="right"/>
    </xf>
    <xf numFmtId="10" fontId="0" fillId="0" borderId="0" xfId="0" applyNumberFormat="1" applyAlignment="1">
      <alignment horizontal="right"/>
    </xf>
    <xf numFmtId="10" fontId="3" fillId="2" borderId="1" xfId="1" applyNumberFormat="1" applyFont="1" applyFill="1" applyBorder="1" applyAlignment="1">
      <alignment horizontal="left" vertical="center" wrapText="1"/>
    </xf>
    <xf numFmtId="0" fontId="0" fillId="0" borderId="0" xfId="0" pivotButton="1"/>
    <xf numFmtId="0" fontId="0" fillId="0" borderId="0" xfId="0" applyAlignment="1">
      <alignment horizontal="left"/>
    </xf>
    <xf numFmtId="49" fontId="2" fillId="0" borderId="0" xfId="0" applyNumberFormat="1" applyFont="1" applyAlignment="1">
      <alignment vertical="center"/>
    </xf>
    <xf numFmtId="1" fontId="0" fillId="0" borderId="0" xfId="0" applyNumberFormat="1"/>
    <xf numFmtId="0" fontId="0" fillId="0" borderId="0" xfId="0" applyAlignment="1">
      <alignment horizontal="right"/>
    </xf>
    <xf numFmtId="165" fontId="0" fillId="0" borderId="0" xfId="1" applyNumberFormat="1" applyFont="1"/>
    <xf numFmtId="0" fontId="4" fillId="3" borderId="0" xfId="0" applyFont="1" applyFill="1" applyAlignment="1">
      <alignment horizontal="center" vertical="center"/>
    </xf>
  </cellXfs>
  <cellStyles count="2">
    <cellStyle name="Comma" xfId="1" builtinId="3"/>
    <cellStyle name="Normal" xfId="0" builtinId="0"/>
  </cellStyles>
  <dxfs count="26">
    <dxf>
      <font>
        <color rgb="FF9C0006"/>
      </font>
      <fill>
        <patternFill>
          <bgColor rgb="FFFFC7CE"/>
        </patternFill>
      </fill>
    </dxf>
    <dxf>
      <font>
        <color rgb="FF9C5700"/>
      </font>
      <fill>
        <patternFill>
          <bgColor rgb="FFFFEB9C"/>
        </patternFill>
      </fill>
    </dxf>
    <dxf>
      <font>
        <color rgb="FF006100"/>
      </font>
      <fill>
        <patternFill>
          <bgColor rgb="FFC6EFCE"/>
        </patternFill>
      </fill>
    </dxf>
    <dxf>
      <numFmt numFmtId="1" formatCode="0"/>
    </dxf>
    <dxf>
      <numFmt numFmtId="1" formatCode="0"/>
    </dxf>
    <dxf>
      <numFmt numFmtId="164" formatCode="&quot;$&quot;#,##0"/>
    </dxf>
    <dxf>
      <numFmt numFmtId="164" formatCode="&quot;$&quot;#,##0"/>
    </dxf>
    <dxf>
      <numFmt numFmtId="165" formatCode="_(* #,##0_);_(* \(#,##0\);_(* &quot;-&quot;??_);_(@_)"/>
    </dxf>
    <dxf>
      <numFmt numFmtId="1" formatCode="0"/>
    </dxf>
    <dxf>
      <alignment horizontal="righ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4" formatCode="0.00%"/>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4" formatCode="0.00%"/>
      <alignment horizontal="righ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quot;$&quot;#,##0"/>
      <alignment horizontal="righ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quot;$&quot;#,##0"/>
      <alignment horizontal="righ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quot;$&quot;#,##0"/>
      <alignment horizontal="righ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4" formatCode="&quot;$&quot;#,##0"/>
      <alignment horizontal="right"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1"/>
        <color rgb="FF000000"/>
        <name val="Calibri"/>
        <family val="2"/>
        <scheme val="none"/>
      </font>
      <numFmt numFmtId="1" formatCode="0"/>
      <alignment horizontal="righ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 formatCode="0"/>
      <alignment horizontal="right"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1"/>
        <color rgb="FF000000"/>
        <name val="Calibri"/>
        <family val="2"/>
        <scheme val="none"/>
      </font>
      <numFmt numFmtId="1" formatCode="0"/>
      <alignment horizontal="right"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1"/>
        <color rgb="FF000000"/>
        <name val="Calibri"/>
        <family val="2"/>
        <scheme val="none"/>
      </font>
      <numFmt numFmtId="1" formatCode="0"/>
      <alignment horizontal="right"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1"/>
        <color rgb="FF000000"/>
        <name val="Calibri"/>
        <family val="2"/>
        <scheme val="none"/>
      </font>
      <numFmt numFmtId="30" formatCode="@"/>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numFmt numFmtId="30" formatCode="@"/>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numFmt numFmtId="30" formatCode="@"/>
      <alignment horizontal="general" vertical="center"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1"/>
        <color rgb="FF000000"/>
        <name val="Calibri"/>
        <family val="2"/>
        <scheme val="none"/>
      </font>
      <alignment horizontal="general" vertical="center" textRotation="0" wrapText="0" indent="0" justifyLastLine="0" shrinkToFit="0" readingOrder="0"/>
    </dxf>
    <dxf>
      <border outline="0">
        <bottom style="medium">
          <color rgb="FF272760"/>
        </bottom>
      </border>
    </dxf>
    <dxf>
      <font>
        <b val="0"/>
        <i val="0"/>
        <strike val="0"/>
        <condense val="0"/>
        <extend val="0"/>
        <outline val="0"/>
        <shadow val="0"/>
        <u val="none"/>
        <vertAlign val="baseline"/>
        <sz val="12"/>
        <color rgb="FFFFFFFF"/>
        <name val="Calibri"/>
        <family val="2"/>
        <scheme val="none"/>
      </font>
      <numFmt numFmtId="164" formatCode="&quot;$&quot;#,##0"/>
      <fill>
        <patternFill patternType="solid">
          <fgColor indexed="64"/>
          <bgColor rgb="FF272760"/>
        </patternFill>
      </fill>
      <alignment horizontal="center" vertical="center" textRotation="0" wrapText="1" indent="0" justifyLastLine="0" shrinkToFit="0" readingOrder="0"/>
    </dxf>
  </dxfs>
  <tableStyles count="0" defaultTableStyle="TableStyleMedium2" defaultPivotStyle="PivotStyleLight16"/>
  <colors>
    <mruColors>
      <color rgb="FFEAB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[computer-shop-sales-analysis-dashboard.xlsx]Pivot Tables!PivotTable1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Tables'!$B$4:$B$16</c:f>
              <c:strCache>
                <c:ptCount val="12"/>
                <c:pt idx="0">
                  <c:v>Desk Chair</c:v>
                </c:pt>
                <c:pt idx="1">
                  <c:v>Monitor Stand</c:v>
                </c:pt>
                <c:pt idx="2">
                  <c:v>External DVD Drive</c:v>
                </c:pt>
                <c:pt idx="3">
                  <c:v>External Hard Drive</c:v>
                </c:pt>
                <c:pt idx="4">
                  <c:v>Wireless Earbuds</c:v>
                </c:pt>
                <c:pt idx="5">
                  <c:v>RAM</c:v>
                </c:pt>
                <c:pt idx="6">
                  <c:v>Keyboard Cleaner</c:v>
                </c:pt>
                <c:pt idx="7">
                  <c:v>Graphics Card</c:v>
                </c:pt>
                <c:pt idx="8">
                  <c:v>CPU</c:v>
                </c:pt>
                <c:pt idx="9">
                  <c:v>Smartphone</c:v>
                </c:pt>
                <c:pt idx="10">
                  <c:v>Laptop Cooling Pad</c:v>
                </c:pt>
                <c:pt idx="11">
                  <c:v>PC Case</c:v>
                </c:pt>
              </c:strCache>
            </c:strRef>
          </c:cat>
          <c:val>
            <c:numRef>
              <c:f>'Pivot Tables'!$C$4:$C$16</c:f>
              <c:numCache>
                <c:formatCode>0.00%</c:formatCode>
                <c:ptCount val="12"/>
                <c:pt idx="0">
                  <c:v>0.17857142857142858</c:v>
                </c:pt>
                <c:pt idx="1">
                  <c:v>0.22857142857142856</c:v>
                </c:pt>
                <c:pt idx="2">
                  <c:v>0.23809523809523808</c:v>
                </c:pt>
                <c:pt idx="3">
                  <c:v>0.24324324324324326</c:v>
                </c:pt>
                <c:pt idx="4">
                  <c:v>0.76</c:v>
                </c:pt>
                <c:pt idx="5">
                  <c:v>0.76388888888888884</c:v>
                </c:pt>
                <c:pt idx="6">
                  <c:v>0.77586206896551724</c:v>
                </c:pt>
                <c:pt idx="7">
                  <c:v>0.77586206896551724</c:v>
                </c:pt>
                <c:pt idx="8">
                  <c:v>0.77777777777777779</c:v>
                </c:pt>
                <c:pt idx="9">
                  <c:v>0.8</c:v>
                </c:pt>
                <c:pt idx="10">
                  <c:v>0.8</c:v>
                </c:pt>
                <c:pt idx="11">
                  <c:v>0.81034482758620685</c:v>
                </c:pt>
              </c:numCache>
            </c:numRef>
          </c:val>
          <c:extLst>
            <c:ext xmlns:c16="http://schemas.microsoft.com/office/drawing/2014/chart" uri="{C3380CC4-5D6E-409C-BE32-E72D297353CC}">
              <c16:uniqueId val="{00000000-16AB-41FD-B551-B0C7BCE5DF9A}"/>
            </c:ext>
          </c:extLst>
        </c:ser>
        <c:dLbls>
          <c:showLegendKey val="0"/>
          <c:showVal val="0"/>
          <c:showCatName val="0"/>
          <c:showSerName val="0"/>
          <c:showPercent val="0"/>
          <c:showBubbleSize val="0"/>
        </c:dLbls>
        <c:gapWidth val="115"/>
        <c:overlap val="-20"/>
        <c:axId val="56277856"/>
        <c:axId val="56271616"/>
      </c:barChart>
      <c:catAx>
        <c:axId val="56277856"/>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1616"/>
        <c:crosses val="autoZero"/>
        <c:auto val="1"/>
        <c:lblAlgn val="ctr"/>
        <c:lblOffset val="100"/>
        <c:noMultiLvlLbl val="0"/>
      </c:catAx>
      <c:valAx>
        <c:axId val="562716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 Rate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[computer-shop-sales-analysis-dashboard.xlsx]Pivot Tables!PivotTable2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Tables'!$K$2:$K$14</c:f>
              <c:strCache>
                <c:ptCount val="12"/>
                <c:pt idx="0">
                  <c:v>Monitor Stand</c:v>
                </c:pt>
                <c:pt idx="1">
                  <c:v>External DVD Drive</c:v>
                </c:pt>
                <c:pt idx="2">
                  <c:v>Keyboard Cleaner</c:v>
                </c:pt>
                <c:pt idx="3">
                  <c:v>Laptop Cooling Pad</c:v>
                </c:pt>
                <c:pt idx="4">
                  <c:v>Desk Chair</c:v>
                </c:pt>
                <c:pt idx="5">
                  <c:v>External Hard Drive</c:v>
                </c:pt>
                <c:pt idx="6">
                  <c:v>Wireless Earbuds</c:v>
                </c:pt>
                <c:pt idx="7">
                  <c:v>PC Case</c:v>
                </c:pt>
                <c:pt idx="8">
                  <c:v>RAM</c:v>
                </c:pt>
                <c:pt idx="9">
                  <c:v>CPU</c:v>
                </c:pt>
                <c:pt idx="10">
                  <c:v>Graphics Card</c:v>
                </c:pt>
                <c:pt idx="11">
                  <c:v>Smartphone</c:v>
                </c:pt>
              </c:strCache>
            </c:strRef>
          </c:cat>
          <c:val>
            <c:numRef>
              <c:f>'Pivot Tables'!$L$2:$L$14</c:f>
              <c:numCache>
                <c:formatCode>"$"#,##0</c:formatCode>
                <c:ptCount val="12"/>
                <c:pt idx="0">
                  <c:v>240</c:v>
                </c:pt>
                <c:pt idx="1">
                  <c:v>250</c:v>
                </c:pt>
                <c:pt idx="2">
                  <c:v>360</c:v>
                </c:pt>
                <c:pt idx="3">
                  <c:v>720</c:v>
                </c:pt>
                <c:pt idx="4">
                  <c:v>750</c:v>
                </c:pt>
                <c:pt idx="5">
                  <c:v>1800</c:v>
                </c:pt>
                <c:pt idx="6">
                  <c:v>3040</c:v>
                </c:pt>
                <c:pt idx="7">
                  <c:v>3760</c:v>
                </c:pt>
                <c:pt idx="8">
                  <c:v>4400</c:v>
                </c:pt>
                <c:pt idx="9">
                  <c:v>12250</c:v>
                </c:pt>
                <c:pt idx="10">
                  <c:v>27000</c:v>
                </c:pt>
                <c:pt idx="11">
                  <c:v>72000</c:v>
                </c:pt>
              </c:numCache>
            </c:numRef>
          </c:val>
          <c:extLst>
            <c:ext xmlns:c16="http://schemas.microsoft.com/office/drawing/2014/chart" uri="{C3380CC4-5D6E-409C-BE32-E72D297353CC}">
              <c16:uniqueId val="{00000000-9CC2-4374-8294-666C90E21AAE}"/>
            </c:ext>
          </c:extLst>
        </c:ser>
        <c:dLbls>
          <c:showLegendKey val="0"/>
          <c:showVal val="0"/>
          <c:showCatName val="0"/>
          <c:showSerName val="0"/>
          <c:showPercent val="0"/>
          <c:showBubbleSize val="0"/>
        </c:dLbls>
        <c:gapWidth val="115"/>
        <c:overlap val="-20"/>
        <c:axId val="145063584"/>
        <c:axId val="145033344"/>
      </c:barChart>
      <c:catAx>
        <c:axId val="14506358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33344"/>
        <c:crosses val="autoZero"/>
        <c:auto val="1"/>
        <c:lblAlgn val="ctr"/>
        <c:lblOffset val="100"/>
        <c:noMultiLvlLbl val="0"/>
      </c:catAx>
      <c:valAx>
        <c:axId val="1450333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6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[computer-shop-sales-analysis-dashboard.xlsx]Pivot Tables!PivotTable3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a:t>
            </a:r>
            <a:r>
              <a:rPr lang="en-US" baseline="0"/>
              <a:t> by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EAB200"/>
          </a:solidFill>
          <a:ln>
            <a:noFill/>
          </a:ln>
          <a:effectLst>
            <a:outerShdw blurRad="57150" dist="19050" dir="5400000" algn="ctr" rotWithShape="0">
              <a:srgbClr val="000000">
                <a:alpha val="63000"/>
              </a:srgbClr>
            </a:outerShdw>
          </a:effectLst>
        </c:spPr>
      </c:pivotFmt>
      <c:pivotFmt>
        <c:idx val="2"/>
        <c:spPr>
          <a:solidFill>
            <a:schemeClr val="accent6">
              <a:lumMod val="50000"/>
            </a:schemeClr>
          </a:solidFill>
          <a:ln>
            <a:noFill/>
          </a:ln>
          <a:effectLst>
            <a:outerShdw blurRad="57150" dist="19050" dir="5400000" algn="ctr" rotWithShape="0">
              <a:srgbClr val="000000">
                <a:alpha val="63000"/>
              </a:srgbClr>
            </a:outerShdw>
          </a:effectLst>
        </c:spPr>
      </c:pivotFmt>
      <c:pivotFmt>
        <c:idx val="3"/>
        <c:spPr>
          <a:solidFill>
            <a:srgbClr val="C00000"/>
          </a:solidFill>
          <a:ln>
            <a:solidFill>
              <a:srgbClr val="C00000"/>
            </a:solidFill>
          </a:ln>
          <a:effectLst>
            <a:outerShdw blurRad="57150" dist="19050" dir="5400000" algn="ctr" rotWithShape="0">
              <a:srgbClr val="000000">
                <a:alpha val="63000"/>
              </a:srgbClr>
            </a:outerShdw>
          </a:effectLst>
        </c:spPr>
        <c:dLbl>
          <c:idx val="0"/>
          <c:layout>
            <c:manualLayout>
              <c:x val="4.444444444444444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717475940507436"/>
          <c:y val="0.26327793649800763"/>
          <c:w val="0.43031189851268592"/>
          <c:h val="0.61841250362660616"/>
        </c:manualLayout>
      </c:layout>
      <c:pieChart>
        <c:varyColors val="1"/>
        <c:ser>
          <c:idx val="0"/>
          <c:order val="0"/>
          <c:tx>
            <c:strRef>
              <c:f>'Pivot Tables'!$S$1</c:f>
              <c:strCache>
                <c:ptCount val="1"/>
                <c:pt idx="0">
                  <c:v>Total</c:v>
                </c:pt>
              </c:strCache>
            </c:strRef>
          </c:tx>
          <c:dPt>
            <c:idx val="0"/>
            <c:bubble3D val="0"/>
            <c:spPr>
              <a:solidFill>
                <a:srgbClr val="EAB2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2EC-44FB-9B8A-780C21BB5CC6}"/>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2EC-44FB-9B8A-780C21BB5CC6}"/>
              </c:ext>
            </c:extLst>
          </c:dPt>
          <c:dPt>
            <c:idx val="2"/>
            <c:bubble3D val="0"/>
            <c:spPr>
              <a:solidFill>
                <a:srgbClr val="C00000"/>
              </a:solidFill>
              <a:ln>
                <a:solidFill>
                  <a:srgbClr val="C0000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02EC-44FB-9B8A-780C21BB5CC6}"/>
              </c:ext>
            </c:extLst>
          </c:dPt>
          <c:dLbls>
            <c:dLbl>
              <c:idx val="2"/>
              <c:layout>
                <c:manualLayout>
                  <c:x val="4.4444444444444446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2EC-44FB-9B8A-780C21BB5C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Tables'!$R$2:$R$5</c:f>
              <c:strCache>
                <c:ptCount val="3"/>
                <c:pt idx="0">
                  <c:v>Average</c:v>
                </c:pt>
                <c:pt idx="1">
                  <c:v>Best Seller</c:v>
                </c:pt>
                <c:pt idx="2">
                  <c:v>Dead Stock</c:v>
                </c:pt>
              </c:strCache>
            </c:strRef>
          </c:cat>
          <c:val>
            <c:numRef>
              <c:f>'Pivot Tables'!$S$2:$S$5</c:f>
              <c:numCache>
                <c:formatCode>General</c:formatCode>
                <c:ptCount val="3"/>
                <c:pt idx="0">
                  <c:v>34</c:v>
                </c:pt>
                <c:pt idx="1">
                  <c:v>8</c:v>
                </c:pt>
                <c:pt idx="2">
                  <c:v>4</c:v>
                </c:pt>
              </c:numCache>
            </c:numRef>
          </c:val>
          <c:extLst>
            <c:ext xmlns:c16="http://schemas.microsoft.com/office/drawing/2014/chart" uri="{C3380CC4-5D6E-409C-BE32-E72D297353CC}">
              <c16:uniqueId val="{00000000-02EC-44FB-9B8A-780C21BB5CC6}"/>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[computer-shop-sales-analysis-dashboard.xlsx]Pivot Tables!PivotTable4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Stock</a:t>
            </a:r>
            <a:r>
              <a:rPr lang="en-US" baseline="0"/>
              <a:t> vs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Tables'!$Z$1</c:f>
              <c:strCache>
                <c:ptCount val="1"/>
                <c:pt idx="0">
                  <c:v>Hand-In Stock Value </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'Pivot Tables'!$Y$2:$Y$5</c:f>
              <c:strCache>
                <c:ptCount val="3"/>
                <c:pt idx="0">
                  <c:v>Average</c:v>
                </c:pt>
                <c:pt idx="1">
                  <c:v>Best Seller</c:v>
                </c:pt>
                <c:pt idx="2">
                  <c:v>Dead Stock</c:v>
                </c:pt>
              </c:strCache>
            </c:strRef>
          </c:cat>
          <c:val>
            <c:numRef>
              <c:f>'Pivot Tables'!$Z$2:$Z$5</c:f>
              <c:numCache>
                <c:formatCode>"$"#,##0</c:formatCode>
                <c:ptCount val="3"/>
                <c:pt idx="0">
                  <c:v>117225</c:v>
                </c:pt>
                <c:pt idx="1">
                  <c:v>32784</c:v>
                </c:pt>
                <c:pt idx="2">
                  <c:v>10660</c:v>
                </c:pt>
              </c:numCache>
            </c:numRef>
          </c:val>
          <c:extLst>
            <c:ext xmlns:c16="http://schemas.microsoft.com/office/drawing/2014/chart" uri="{C3380CC4-5D6E-409C-BE32-E72D297353CC}">
              <c16:uniqueId val="{00000000-145F-4611-A988-BDCAB5BDB454}"/>
            </c:ext>
          </c:extLst>
        </c:ser>
        <c:ser>
          <c:idx val="1"/>
          <c:order val="1"/>
          <c:tx>
            <c:strRef>
              <c:f>'Pivot Tables'!$AA$1</c:f>
              <c:strCache>
                <c:ptCount val="1"/>
                <c:pt idx="0">
                  <c:v>Revenue </c:v>
                </c:pt>
              </c:strCache>
            </c:strRef>
          </c:tx>
          <c:spPr>
            <a:solidFill>
              <a:schemeClr val="accent6">
                <a:lumMod val="50000"/>
              </a:schemeClr>
            </a:solidFill>
            <a:ln>
              <a:noFill/>
            </a:ln>
            <a:effectLst>
              <a:outerShdw blurRad="57150" dist="19050" dir="5400000" algn="ctr" rotWithShape="0">
                <a:srgbClr val="000000">
                  <a:alpha val="63000"/>
                </a:srgbClr>
              </a:outerShdw>
            </a:effectLst>
          </c:spPr>
          <c:invertIfNegative val="0"/>
          <c:cat>
            <c:strRef>
              <c:f>'Pivot Tables'!$Y$2:$Y$5</c:f>
              <c:strCache>
                <c:ptCount val="3"/>
                <c:pt idx="0">
                  <c:v>Average</c:v>
                </c:pt>
                <c:pt idx="1">
                  <c:v>Best Seller</c:v>
                </c:pt>
                <c:pt idx="2">
                  <c:v>Dead Stock</c:v>
                </c:pt>
              </c:strCache>
            </c:strRef>
          </c:cat>
          <c:val>
            <c:numRef>
              <c:f>'Pivot Tables'!$AA$2:$AA$5</c:f>
              <c:numCache>
                <c:formatCode>"$"#,##0</c:formatCode>
                <c:ptCount val="3"/>
                <c:pt idx="0">
                  <c:v>137060</c:v>
                </c:pt>
                <c:pt idx="1">
                  <c:v>123530</c:v>
                </c:pt>
                <c:pt idx="2">
                  <c:v>3040</c:v>
                </c:pt>
              </c:numCache>
            </c:numRef>
          </c:val>
          <c:extLst>
            <c:ext xmlns:c16="http://schemas.microsoft.com/office/drawing/2014/chart" uri="{C3380CC4-5D6E-409C-BE32-E72D297353CC}">
              <c16:uniqueId val="{00000001-145F-4611-A988-BDCAB5BDB454}"/>
            </c:ext>
          </c:extLst>
        </c:ser>
        <c:dLbls>
          <c:showLegendKey val="0"/>
          <c:showVal val="0"/>
          <c:showCatName val="0"/>
          <c:showSerName val="0"/>
          <c:showPercent val="0"/>
          <c:showBubbleSize val="0"/>
        </c:dLbls>
        <c:gapWidth val="100"/>
        <c:overlap val="-24"/>
        <c:axId val="211726672"/>
        <c:axId val="211745872"/>
      </c:barChart>
      <c:catAx>
        <c:axId val="21172667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Status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45872"/>
        <c:crosses val="autoZero"/>
        <c:auto val="1"/>
        <c:lblAlgn val="ctr"/>
        <c:lblOffset val="100"/>
        <c:noMultiLvlLbl val="0"/>
      </c:catAx>
      <c:valAx>
        <c:axId val="211745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2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[computer-shop-sales-analysis-dashboard.xlsx]Pivot Tables!PivotTable1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Tables'!$B$4:$B$16</c:f>
              <c:strCache>
                <c:ptCount val="12"/>
                <c:pt idx="0">
                  <c:v>Desk Chair</c:v>
                </c:pt>
                <c:pt idx="1">
                  <c:v>Monitor Stand</c:v>
                </c:pt>
                <c:pt idx="2">
                  <c:v>External DVD Drive</c:v>
                </c:pt>
                <c:pt idx="3">
                  <c:v>External Hard Drive</c:v>
                </c:pt>
                <c:pt idx="4">
                  <c:v>Wireless Earbuds</c:v>
                </c:pt>
                <c:pt idx="5">
                  <c:v>RAM</c:v>
                </c:pt>
                <c:pt idx="6">
                  <c:v>Keyboard Cleaner</c:v>
                </c:pt>
                <c:pt idx="7">
                  <c:v>Graphics Card</c:v>
                </c:pt>
                <c:pt idx="8">
                  <c:v>CPU</c:v>
                </c:pt>
                <c:pt idx="9">
                  <c:v>Smartphone</c:v>
                </c:pt>
                <c:pt idx="10">
                  <c:v>Laptop Cooling Pad</c:v>
                </c:pt>
                <c:pt idx="11">
                  <c:v>PC Case</c:v>
                </c:pt>
              </c:strCache>
            </c:strRef>
          </c:cat>
          <c:val>
            <c:numRef>
              <c:f>'Pivot Tables'!$C$4:$C$16</c:f>
              <c:numCache>
                <c:formatCode>0.00%</c:formatCode>
                <c:ptCount val="12"/>
                <c:pt idx="0">
                  <c:v>0.17857142857142858</c:v>
                </c:pt>
                <c:pt idx="1">
                  <c:v>0.22857142857142856</c:v>
                </c:pt>
                <c:pt idx="2">
                  <c:v>0.23809523809523808</c:v>
                </c:pt>
                <c:pt idx="3">
                  <c:v>0.24324324324324326</c:v>
                </c:pt>
                <c:pt idx="4">
                  <c:v>0.76</c:v>
                </c:pt>
                <c:pt idx="5">
                  <c:v>0.76388888888888884</c:v>
                </c:pt>
                <c:pt idx="6">
                  <c:v>0.77586206896551724</c:v>
                </c:pt>
                <c:pt idx="7">
                  <c:v>0.77586206896551724</c:v>
                </c:pt>
                <c:pt idx="8">
                  <c:v>0.77777777777777779</c:v>
                </c:pt>
                <c:pt idx="9">
                  <c:v>0.8</c:v>
                </c:pt>
                <c:pt idx="10">
                  <c:v>0.8</c:v>
                </c:pt>
                <c:pt idx="11">
                  <c:v>0.81034482758620685</c:v>
                </c:pt>
              </c:numCache>
            </c:numRef>
          </c:val>
          <c:extLst>
            <c:ext xmlns:c16="http://schemas.microsoft.com/office/drawing/2014/chart" uri="{C3380CC4-5D6E-409C-BE32-E72D297353CC}">
              <c16:uniqueId val="{00000000-26DB-444D-A084-2DEB11C1C13D}"/>
            </c:ext>
          </c:extLst>
        </c:ser>
        <c:dLbls>
          <c:showLegendKey val="0"/>
          <c:showVal val="0"/>
          <c:showCatName val="0"/>
          <c:showSerName val="0"/>
          <c:showPercent val="0"/>
          <c:showBubbleSize val="0"/>
        </c:dLbls>
        <c:gapWidth val="115"/>
        <c:overlap val="-20"/>
        <c:axId val="56277856"/>
        <c:axId val="56271616"/>
      </c:barChart>
      <c:catAx>
        <c:axId val="56277856"/>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1616"/>
        <c:crosses val="autoZero"/>
        <c:auto val="1"/>
        <c:lblAlgn val="ctr"/>
        <c:lblOffset val="100"/>
        <c:noMultiLvlLbl val="0"/>
      </c:catAx>
      <c:valAx>
        <c:axId val="562716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 Rate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7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[computer-shop-sales-analysis-dashboard.xlsx]Pivot Tables!PivotTable2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Tables'!$K$2:$K$14</c:f>
              <c:strCache>
                <c:ptCount val="12"/>
                <c:pt idx="0">
                  <c:v>Monitor Stand</c:v>
                </c:pt>
                <c:pt idx="1">
                  <c:v>External DVD Drive</c:v>
                </c:pt>
                <c:pt idx="2">
                  <c:v>Keyboard Cleaner</c:v>
                </c:pt>
                <c:pt idx="3">
                  <c:v>Laptop Cooling Pad</c:v>
                </c:pt>
                <c:pt idx="4">
                  <c:v>Desk Chair</c:v>
                </c:pt>
                <c:pt idx="5">
                  <c:v>External Hard Drive</c:v>
                </c:pt>
                <c:pt idx="6">
                  <c:v>Wireless Earbuds</c:v>
                </c:pt>
                <c:pt idx="7">
                  <c:v>PC Case</c:v>
                </c:pt>
                <c:pt idx="8">
                  <c:v>RAM</c:v>
                </c:pt>
                <c:pt idx="9">
                  <c:v>CPU</c:v>
                </c:pt>
                <c:pt idx="10">
                  <c:v>Graphics Card</c:v>
                </c:pt>
                <c:pt idx="11">
                  <c:v>Smartphone</c:v>
                </c:pt>
              </c:strCache>
            </c:strRef>
          </c:cat>
          <c:val>
            <c:numRef>
              <c:f>'Pivot Tables'!$L$2:$L$14</c:f>
              <c:numCache>
                <c:formatCode>"$"#,##0</c:formatCode>
                <c:ptCount val="12"/>
                <c:pt idx="0">
                  <c:v>240</c:v>
                </c:pt>
                <c:pt idx="1">
                  <c:v>250</c:v>
                </c:pt>
                <c:pt idx="2">
                  <c:v>360</c:v>
                </c:pt>
                <c:pt idx="3">
                  <c:v>720</c:v>
                </c:pt>
                <c:pt idx="4">
                  <c:v>750</c:v>
                </c:pt>
                <c:pt idx="5">
                  <c:v>1800</c:v>
                </c:pt>
                <c:pt idx="6">
                  <c:v>3040</c:v>
                </c:pt>
                <c:pt idx="7">
                  <c:v>3760</c:v>
                </c:pt>
                <c:pt idx="8">
                  <c:v>4400</c:v>
                </c:pt>
                <c:pt idx="9">
                  <c:v>12250</c:v>
                </c:pt>
                <c:pt idx="10">
                  <c:v>27000</c:v>
                </c:pt>
                <c:pt idx="11">
                  <c:v>72000</c:v>
                </c:pt>
              </c:numCache>
            </c:numRef>
          </c:val>
          <c:extLst>
            <c:ext xmlns:c16="http://schemas.microsoft.com/office/drawing/2014/chart" uri="{C3380CC4-5D6E-409C-BE32-E72D297353CC}">
              <c16:uniqueId val="{00000000-5FA8-456A-920E-0CFAF8D06170}"/>
            </c:ext>
          </c:extLst>
        </c:ser>
        <c:dLbls>
          <c:showLegendKey val="0"/>
          <c:showVal val="0"/>
          <c:showCatName val="0"/>
          <c:showSerName val="0"/>
          <c:showPercent val="0"/>
          <c:showBubbleSize val="0"/>
        </c:dLbls>
        <c:gapWidth val="115"/>
        <c:overlap val="-20"/>
        <c:axId val="145063584"/>
        <c:axId val="145033344"/>
      </c:barChart>
      <c:catAx>
        <c:axId val="14506358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33344"/>
        <c:crosses val="autoZero"/>
        <c:auto val="1"/>
        <c:lblAlgn val="ctr"/>
        <c:lblOffset val="100"/>
        <c:noMultiLvlLbl val="0"/>
      </c:catAx>
      <c:valAx>
        <c:axId val="1450333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6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[computer-shop-sales-analysis-dashboard.xlsx]Pivot Tables!PivotTable3</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Product</a:t>
            </a:r>
            <a:r>
              <a:rPr lang="en-US" baseline="0"/>
              <a:t> by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EAB200"/>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6">
              <a:lumMod val="5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rgbClr val="C00000"/>
          </a:solidFill>
          <a:ln>
            <a:solidFill>
              <a:srgbClr val="C00000"/>
            </a:solidFill>
          </a:ln>
          <a:effectLst>
            <a:outerShdw blurRad="57150" dist="19050" dir="5400000" algn="ctr" rotWithShape="0">
              <a:srgbClr val="000000">
                <a:alpha val="63000"/>
              </a:srgbClr>
            </a:outerShdw>
          </a:effectLst>
        </c:spPr>
        <c:dLbl>
          <c:idx val="0"/>
          <c:layout>
            <c:manualLayout>
              <c:x val="4.444444444444444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EAB200"/>
          </a:solidFill>
          <a:ln>
            <a:noFill/>
          </a:ln>
          <a:effectLst>
            <a:outerShdw blurRad="57150" dist="19050" dir="5400000" algn="ctr" rotWithShape="0">
              <a:srgbClr val="000000">
                <a:alpha val="63000"/>
              </a:srgbClr>
            </a:outerShdw>
          </a:effectLst>
        </c:spPr>
      </c:pivotFmt>
      <c:pivotFmt>
        <c:idx val="6"/>
        <c:spPr>
          <a:solidFill>
            <a:schemeClr val="accent6">
              <a:lumMod val="50000"/>
            </a:schemeClr>
          </a:solidFill>
          <a:ln>
            <a:noFill/>
          </a:ln>
          <a:effectLst>
            <a:outerShdw blurRad="57150" dist="19050" dir="5400000" algn="ctr" rotWithShape="0">
              <a:srgbClr val="000000">
                <a:alpha val="63000"/>
              </a:srgbClr>
            </a:outerShdw>
          </a:effectLst>
        </c:spPr>
      </c:pivotFmt>
      <c:pivotFmt>
        <c:idx val="7"/>
        <c:spPr>
          <a:solidFill>
            <a:srgbClr val="C00000"/>
          </a:solidFill>
          <a:ln>
            <a:solidFill>
              <a:srgbClr val="C00000"/>
            </a:solidFill>
          </a:ln>
          <a:effectLst>
            <a:outerShdw blurRad="57150" dist="19050" dir="5400000" algn="ctr" rotWithShape="0">
              <a:srgbClr val="000000">
                <a:alpha val="63000"/>
              </a:srgbClr>
            </a:outerShdw>
          </a:effectLst>
        </c:spPr>
        <c:dLbl>
          <c:idx val="0"/>
          <c:layout>
            <c:manualLayout>
              <c:x val="4.444444444444444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EAB200"/>
          </a:solidFill>
          <a:ln>
            <a:noFill/>
          </a:ln>
          <a:effectLst>
            <a:outerShdw blurRad="57150" dist="19050" dir="5400000" algn="ctr" rotWithShape="0">
              <a:srgbClr val="000000">
                <a:alpha val="63000"/>
              </a:srgbClr>
            </a:outerShdw>
          </a:effectLst>
        </c:spPr>
      </c:pivotFmt>
      <c:pivotFmt>
        <c:idx val="10"/>
        <c:spPr>
          <a:solidFill>
            <a:schemeClr val="accent6">
              <a:lumMod val="50000"/>
            </a:schemeClr>
          </a:solidFill>
          <a:ln>
            <a:noFill/>
          </a:ln>
          <a:effectLst>
            <a:outerShdw blurRad="57150" dist="19050" dir="5400000" algn="ctr" rotWithShape="0">
              <a:srgbClr val="000000">
                <a:alpha val="63000"/>
              </a:srgbClr>
            </a:outerShdw>
          </a:effectLst>
        </c:spPr>
      </c:pivotFmt>
      <c:pivotFmt>
        <c:idx val="11"/>
        <c:spPr>
          <a:solidFill>
            <a:srgbClr val="C00000"/>
          </a:solidFill>
          <a:ln>
            <a:solidFill>
              <a:srgbClr val="C00000"/>
            </a:solidFill>
          </a:ln>
          <a:effectLst>
            <a:outerShdw blurRad="57150" dist="19050" dir="5400000" algn="ctr" rotWithShape="0">
              <a:srgbClr val="000000">
                <a:alpha val="63000"/>
              </a:srgbClr>
            </a:outerShdw>
          </a:effectLst>
        </c:spPr>
        <c:dLbl>
          <c:idx val="0"/>
          <c:layout>
            <c:manualLayout>
              <c:x val="8.8733917334743321E-4"/>
              <c:y val="-3.95647873392680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717475940507436"/>
          <c:y val="0.26327793649800763"/>
          <c:w val="0.43031189851268592"/>
          <c:h val="0.61841250362660616"/>
        </c:manualLayout>
      </c:layout>
      <c:pieChart>
        <c:varyColors val="1"/>
        <c:ser>
          <c:idx val="0"/>
          <c:order val="0"/>
          <c:tx>
            <c:strRef>
              <c:f>'Pivot Tables'!$S$1</c:f>
              <c:strCache>
                <c:ptCount val="1"/>
                <c:pt idx="0">
                  <c:v>Total</c:v>
                </c:pt>
              </c:strCache>
            </c:strRef>
          </c:tx>
          <c:dPt>
            <c:idx val="0"/>
            <c:bubble3D val="0"/>
            <c:spPr>
              <a:solidFill>
                <a:srgbClr val="EAB2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772-4363-8CBB-5B5F158EE453}"/>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772-4363-8CBB-5B5F158EE453}"/>
              </c:ext>
            </c:extLst>
          </c:dPt>
          <c:dPt>
            <c:idx val="2"/>
            <c:bubble3D val="0"/>
            <c:spPr>
              <a:solidFill>
                <a:srgbClr val="C00000"/>
              </a:solidFill>
              <a:ln>
                <a:solidFill>
                  <a:srgbClr val="C0000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772-4363-8CBB-5B5F158EE453}"/>
              </c:ext>
            </c:extLst>
          </c:dPt>
          <c:dLbls>
            <c:dLbl>
              <c:idx val="2"/>
              <c:layout>
                <c:manualLayout>
                  <c:x val="8.8733917334743321E-4"/>
                  <c:y val="-3.95647873392680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772-4363-8CBB-5B5F158EE4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Tables'!$R$2:$R$5</c:f>
              <c:strCache>
                <c:ptCount val="3"/>
                <c:pt idx="0">
                  <c:v>Average</c:v>
                </c:pt>
                <c:pt idx="1">
                  <c:v>Best Seller</c:v>
                </c:pt>
                <c:pt idx="2">
                  <c:v>Dead Stock</c:v>
                </c:pt>
              </c:strCache>
            </c:strRef>
          </c:cat>
          <c:val>
            <c:numRef>
              <c:f>'Pivot Tables'!$S$2:$S$5</c:f>
              <c:numCache>
                <c:formatCode>General</c:formatCode>
                <c:ptCount val="3"/>
                <c:pt idx="0">
                  <c:v>34</c:v>
                </c:pt>
                <c:pt idx="1">
                  <c:v>8</c:v>
                </c:pt>
                <c:pt idx="2">
                  <c:v>4</c:v>
                </c:pt>
              </c:numCache>
            </c:numRef>
          </c:val>
          <c:extLst>
            <c:ext xmlns:c16="http://schemas.microsoft.com/office/drawing/2014/chart" uri="{C3380CC4-5D6E-409C-BE32-E72D297353CC}">
              <c16:uniqueId val="{00000006-9772-4363-8CBB-5B5F158EE453}"/>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0442392976739974"/>
          <c:y val="0.45630006931626127"/>
          <c:w val="0.13647712650190899"/>
          <c:h val="0.196289818294945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[computer-shop-sales-analysis-dashboard.xlsx]Pivot Tables!PivotTable4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Stock</a:t>
            </a:r>
            <a:r>
              <a:rPr lang="en-US" baseline="0"/>
              <a:t> vs.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Tables'!$Z$1</c:f>
              <c:strCache>
                <c:ptCount val="1"/>
                <c:pt idx="0">
                  <c:v>Hand-In Stock Value </c:v>
                </c:pt>
              </c:strCache>
            </c:strRef>
          </c:tx>
          <c:spPr>
            <a:solidFill>
              <a:schemeClr val="accent2"/>
            </a:solidFill>
            <a:ln>
              <a:noFill/>
            </a:ln>
            <a:effectLst>
              <a:outerShdw blurRad="57150" dist="19050" dir="5400000" algn="ctr" rotWithShape="0">
                <a:srgbClr val="000000">
                  <a:alpha val="63000"/>
                </a:srgbClr>
              </a:outerShdw>
            </a:effectLst>
          </c:spPr>
          <c:invertIfNegative val="0"/>
          <c:cat>
            <c:strRef>
              <c:f>'Pivot Tables'!$Y$2:$Y$5</c:f>
              <c:strCache>
                <c:ptCount val="3"/>
                <c:pt idx="0">
                  <c:v>Average</c:v>
                </c:pt>
                <c:pt idx="1">
                  <c:v>Best Seller</c:v>
                </c:pt>
                <c:pt idx="2">
                  <c:v>Dead Stock</c:v>
                </c:pt>
              </c:strCache>
            </c:strRef>
          </c:cat>
          <c:val>
            <c:numRef>
              <c:f>'Pivot Tables'!$Z$2:$Z$5</c:f>
              <c:numCache>
                <c:formatCode>"$"#,##0</c:formatCode>
                <c:ptCount val="3"/>
                <c:pt idx="0">
                  <c:v>117225</c:v>
                </c:pt>
                <c:pt idx="1">
                  <c:v>32784</c:v>
                </c:pt>
                <c:pt idx="2">
                  <c:v>10660</c:v>
                </c:pt>
              </c:numCache>
            </c:numRef>
          </c:val>
          <c:extLst>
            <c:ext xmlns:c16="http://schemas.microsoft.com/office/drawing/2014/chart" uri="{C3380CC4-5D6E-409C-BE32-E72D297353CC}">
              <c16:uniqueId val="{00000000-B319-44F7-B669-B6E5B36B3B35}"/>
            </c:ext>
          </c:extLst>
        </c:ser>
        <c:ser>
          <c:idx val="1"/>
          <c:order val="1"/>
          <c:tx>
            <c:strRef>
              <c:f>'Pivot Tables'!$AA$1</c:f>
              <c:strCache>
                <c:ptCount val="1"/>
                <c:pt idx="0">
                  <c:v>Revenue </c:v>
                </c:pt>
              </c:strCache>
            </c:strRef>
          </c:tx>
          <c:spPr>
            <a:solidFill>
              <a:schemeClr val="accent1"/>
            </a:solidFill>
            <a:ln>
              <a:noFill/>
            </a:ln>
            <a:effectLst>
              <a:outerShdw blurRad="57150" dist="19050" dir="5400000" algn="ctr" rotWithShape="0">
                <a:srgbClr val="000000">
                  <a:alpha val="63000"/>
                </a:srgbClr>
              </a:outerShdw>
            </a:effectLst>
          </c:spPr>
          <c:invertIfNegative val="0"/>
          <c:cat>
            <c:strRef>
              <c:f>'Pivot Tables'!$Y$2:$Y$5</c:f>
              <c:strCache>
                <c:ptCount val="3"/>
                <c:pt idx="0">
                  <c:v>Average</c:v>
                </c:pt>
                <c:pt idx="1">
                  <c:v>Best Seller</c:v>
                </c:pt>
                <c:pt idx="2">
                  <c:v>Dead Stock</c:v>
                </c:pt>
              </c:strCache>
            </c:strRef>
          </c:cat>
          <c:val>
            <c:numRef>
              <c:f>'Pivot Tables'!$AA$2:$AA$5</c:f>
              <c:numCache>
                <c:formatCode>"$"#,##0</c:formatCode>
                <c:ptCount val="3"/>
                <c:pt idx="0">
                  <c:v>137060</c:v>
                </c:pt>
                <c:pt idx="1">
                  <c:v>123530</c:v>
                </c:pt>
                <c:pt idx="2">
                  <c:v>3040</c:v>
                </c:pt>
              </c:numCache>
            </c:numRef>
          </c:val>
          <c:extLst>
            <c:ext xmlns:c16="http://schemas.microsoft.com/office/drawing/2014/chart" uri="{C3380CC4-5D6E-409C-BE32-E72D297353CC}">
              <c16:uniqueId val="{00000001-B319-44F7-B669-B6E5B36B3B35}"/>
            </c:ext>
          </c:extLst>
        </c:ser>
        <c:dLbls>
          <c:showLegendKey val="0"/>
          <c:showVal val="0"/>
          <c:showCatName val="0"/>
          <c:showSerName val="0"/>
          <c:showPercent val="0"/>
          <c:showBubbleSize val="0"/>
        </c:dLbls>
        <c:gapWidth val="100"/>
        <c:overlap val="-24"/>
        <c:axId val="211726672"/>
        <c:axId val="211745872"/>
      </c:barChart>
      <c:catAx>
        <c:axId val="21172667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Status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45872"/>
        <c:crosses val="autoZero"/>
        <c:auto val="1"/>
        <c:lblAlgn val="ctr"/>
        <c:lblOffset val="100"/>
        <c:noMultiLvlLbl val="0"/>
      </c:catAx>
      <c:valAx>
        <c:axId val="211745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Value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2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47626</xdr:colOff>
      <xdr:row>17</xdr:row>
      <xdr:rowOff>28576</xdr:rowOff>
    </xdr:from>
    <xdr:to>
      <xdr:col>6</xdr:col>
      <xdr:colOff>485775</xdr:colOff>
      <xdr:row>35</xdr:row>
      <xdr:rowOff>9525</xdr:rowOff>
    </xdr:to>
    <xdr:graphicFrame macro="">
      <xdr:nvGraphicFramePr>
        <xdr:cNvPr id="2" name="Chart 1">
          <a:extLst>
            <a:ext uri="{FF2B5EF4-FFF2-40B4-BE49-F238E27FC236}">
              <a16:creationId xmlns:a16="http://schemas.microsoft.com/office/drawing/2014/main" id="{FB90405E-595F-C412-FA85-6B6F62554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17</xdr:row>
      <xdr:rowOff>14286</xdr:rowOff>
    </xdr:from>
    <xdr:to>
      <xdr:col>14</xdr:col>
      <xdr:colOff>495300</xdr:colOff>
      <xdr:row>35</xdr:row>
      <xdr:rowOff>9525</xdr:rowOff>
    </xdr:to>
    <xdr:graphicFrame macro="">
      <xdr:nvGraphicFramePr>
        <xdr:cNvPr id="3" name="Chart 2">
          <a:extLst>
            <a:ext uri="{FF2B5EF4-FFF2-40B4-BE49-F238E27FC236}">
              <a16:creationId xmlns:a16="http://schemas.microsoft.com/office/drawing/2014/main" id="{B4894BE0-006D-B5BB-E139-A3DF55BDDB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266700</xdr:colOff>
      <xdr:row>17</xdr:row>
      <xdr:rowOff>38100</xdr:rowOff>
    </xdr:from>
    <xdr:to>
      <xdr:col>20</xdr:col>
      <xdr:colOff>552450</xdr:colOff>
      <xdr:row>33</xdr:row>
      <xdr:rowOff>171449</xdr:rowOff>
    </xdr:to>
    <xdr:graphicFrame macro="">
      <xdr:nvGraphicFramePr>
        <xdr:cNvPr id="4" name="Chart 3">
          <a:extLst>
            <a:ext uri="{FF2B5EF4-FFF2-40B4-BE49-F238E27FC236}">
              <a16:creationId xmlns:a16="http://schemas.microsoft.com/office/drawing/2014/main" id="{DF50E1E1-B88B-9072-858B-567E8744C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52386</xdr:colOff>
      <xdr:row>17</xdr:row>
      <xdr:rowOff>23812</xdr:rowOff>
    </xdr:from>
    <xdr:to>
      <xdr:col>28</xdr:col>
      <xdr:colOff>266699</xdr:colOff>
      <xdr:row>34</xdr:row>
      <xdr:rowOff>0</xdr:rowOff>
    </xdr:to>
    <xdr:graphicFrame macro="">
      <xdr:nvGraphicFramePr>
        <xdr:cNvPr id="5" name="Chart 4">
          <a:extLst>
            <a:ext uri="{FF2B5EF4-FFF2-40B4-BE49-F238E27FC236}">
              <a16:creationId xmlns:a16="http://schemas.microsoft.com/office/drawing/2014/main" id="{654CE574-E75F-CD71-DBC3-D50AF38BF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238127</xdr:colOff>
      <xdr:row>4</xdr:row>
      <xdr:rowOff>9526</xdr:rowOff>
    </xdr:from>
    <xdr:to>
      <xdr:col>18</xdr:col>
      <xdr:colOff>1</xdr:colOff>
      <xdr:row>22</xdr:row>
      <xdr:rowOff>9526</xdr:rowOff>
    </xdr:to>
    <xdr:graphicFrame macro="">
      <xdr:nvGraphicFramePr>
        <xdr:cNvPr id="2" name="Chart 1">
          <a:extLst>
            <a:ext uri="{FF2B5EF4-FFF2-40B4-BE49-F238E27FC236}">
              <a16:creationId xmlns:a16="http://schemas.microsoft.com/office/drawing/2014/main" id="{66593EDE-D0AF-4CC9-AC84-7D4F3277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4</xdr:row>
      <xdr:rowOff>9525</xdr:rowOff>
    </xdr:from>
    <xdr:to>
      <xdr:col>9</xdr:col>
      <xdr:colOff>228600</xdr:colOff>
      <xdr:row>22</xdr:row>
      <xdr:rowOff>4764</xdr:rowOff>
    </xdr:to>
    <xdr:graphicFrame macro="">
      <xdr:nvGraphicFramePr>
        <xdr:cNvPr id="3" name="Chart 2">
          <a:extLst>
            <a:ext uri="{FF2B5EF4-FFF2-40B4-BE49-F238E27FC236}">
              <a16:creationId xmlns:a16="http://schemas.microsoft.com/office/drawing/2014/main" id="{9FAF8E33-C04D-4FB4-8005-F5D6E4595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238124</xdr:colOff>
      <xdr:row>22</xdr:row>
      <xdr:rowOff>19050</xdr:rowOff>
    </xdr:from>
    <xdr:to>
      <xdr:col>17</xdr:col>
      <xdr:colOff>609599</xdr:colOff>
      <xdr:row>38</xdr:row>
      <xdr:rowOff>180975</xdr:rowOff>
    </xdr:to>
    <xdr:graphicFrame macro="">
      <xdr:nvGraphicFramePr>
        <xdr:cNvPr id="4" name="Chart 3">
          <a:extLst>
            <a:ext uri="{FF2B5EF4-FFF2-40B4-BE49-F238E27FC236}">
              <a16:creationId xmlns:a16="http://schemas.microsoft.com/office/drawing/2014/main" id="{E79FF060-8125-4BBC-BD42-BDD12F214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22</xdr:row>
      <xdr:rowOff>19050</xdr:rowOff>
    </xdr:from>
    <xdr:to>
      <xdr:col>9</xdr:col>
      <xdr:colOff>238125</xdr:colOff>
      <xdr:row>38</xdr:row>
      <xdr:rowOff>185738</xdr:rowOff>
    </xdr:to>
    <xdr:graphicFrame macro="">
      <xdr:nvGraphicFramePr>
        <xdr:cNvPr id="5" name="Chart 4">
          <a:extLst>
            <a:ext uri="{FF2B5EF4-FFF2-40B4-BE49-F238E27FC236}">
              <a16:creationId xmlns:a16="http://schemas.microsoft.com/office/drawing/2014/main" id="{44FD4193-A3F1-4713-B867-1BB2CC4B5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9525</xdr:colOff>
      <xdr:row>10</xdr:row>
      <xdr:rowOff>104775</xdr:rowOff>
    </xdr:from>
    <xdr:to>
      <xdr:col>21</xdr:col>
      <xdr:colOff>9525</xdr:colOff>
      <xdr:row>18</xdr:row>
      <xdr:rowOff>152400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3FCE9801-64FB-06D3-AC2D-7D1DC901112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70815" y="2050743"/>
              <a:ext cx="1843549" cy="1604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9525</xdr:colOff>
      <xdr:row>4</xdr:row>
      <xdr:rowOff>9525</xdr:rowOff>
    </xdr:from>
    <xdr:to>
      <xdr:col>21</xdr:col>
      <xdr:colOff>9525</xdr:colOff>
      <xdr:row>10</xdr:row>
      <xdr:rowOff>104775</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4E9D90F4-EC73-4BFB-02F8-DEEABC914F2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1070815" y="787912"/>
              <a:ext cx="1843549" cy="12628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9525</xdr:colOff>
      <xdr:row>18</xdr:row>
      <xdr:rowOff>161924</xdr:rowOff>
    </xdr:from>
    <xdr:to>
      <xdr:col>21</xdr:col>
      <xdr:colOff>9525</xdr:colOff>
      <xdr:row>39</xdr:row>
      <xdr:rowOff>0</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18D2362E-07F9-EE0E-A3C0-DD27EB8FDC6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070815" y="3664666"/>
              <a:ext cx="1843549" cy="3924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3.971376504633" createdVersion="8" refreshedVersion="8" minRefreshableVersion="3" recordCount="46" xr:uid="{058E3FFB-77C6-4167-90FD-C4B763276B7A}">
  <cacheSource type="worksheet">
    <worksheetSource name="Table1"/>
  </cacheSource>
  <cacheFields count="13">
    <cacheField name="Product ID" numFmtId="49">
      <sharedItems/>
    </cacheField>
    <cacheField name="Product" numFmtId="49">
      <sharedItems count="46">
        <s v="Smartphone"/>
        <s v="Laptop"/>
        <s v="Graphics Card"/>
        <s v="Tablet"/>
        <s v="CPU"/>
        <s v="Monitor"/>
        <s v="Gaming Monitor"/>
        <s v="Router"/>
        <s v="SSD"/>
        <s v="Motherboard"/>
        <s v="RAM"/>
        <s v="External Hard Drive"/>
        <s v="PC Case"/>
        <s v="HDD"/>
        <s v="Wireless Earbuds"/>
        <s v="Keyboard"/>
        <s v="Power Supply"/>
        <s v="Webcam"/>
        <s v="Gaming Desk"/>
        <s v="Desk Chair"/>
        <s v="Gaming Chair"/>
        <s v="Gaming Mouse"/>
        <s v="Gaming Headset"/>
        <s v="Gaming Keyboard"/>
        <s v="Headphones"/>
        <s v="Wireless Charger"/>
        <s v="Wireless Mouse"/>
        <s v="CPU Cooler"/>
        <s v="USB Flash Drive"/>
        <s v="Desk Lamp"/>
        <s v="Power Strip"/>
        <s v="Laptop Cooling Pad"/>
        <s v="Ethernet Cable"/>
        <s v="External DVD Drive"/>
        <s v="Laptop Sleeve"/>
        <s v="Monitor Stand"/>
        <s v="Mouse Pad"/>
        <s v="Keyboard Cleaner"/>
        <s v="USB-C Cable"/>
        <s v="Cable Management Kit"/>
        <s v="WiFi Adapter"/>
        <s v="USB Hub"/>
        <s v="USB-C Adapter"/>
        <s v="Anti-Glare Screen Protector"/>
        <s v="Thermal Paste"/>
        <s v="Printer Cable"/>
      </sharedItems>
    </cacheField>
    <cacheField name="Category" numFmtId="49">
      <sharedItems count="4">
        <s v="Mobile"/>
        <s v="Computing"/>
        <s v="Peripherals"/>
        <s v="Accessories"/>
      </sharedItems>
    </cacheField>
    <cacheField name="Opening Stock" numFmtId="1">
      <sharedItems containsSemiMixedTypes="0" containsString="0" containsNumber="1" containsInteger="1" minValue="15" maxValue="70"/>
    </cacheField>
    <cacheField name="Purchase/Stock In" numFmtId="1">
      <sharedItems containsSemiMixedTypes="0" containsString="0" containsNumber="1" containsInteger="1" minValue="6" maxValue="30"/>
    </cacheField>
    <cacheField name=" Units Sold" numFmtId="1">
      <sharedItems containsSemiMixedTypes="0" containsString="0" containsNumber="1" containsInteger="1" minValue="5" maxValue="80"/>
    </cacheField>
    <cacheField name="Hand-In-Stock" numFmtId="1">
      <sharedItems containsSemiMixedTypes="0" containsString="0" containsNumber="1" containsInteger="1" minValue="9" maxValue="35"/>
    </cacheField>
    <cacheField name="Cost Price /Unit" numFmtId="164">
      <sharedItems containsSemiMixedTypes="0" containsString="0" containsNumber="1" containsInteger="1" minValue="5" maxValue="1200"/>
    </cacheField>
    <cacheField name="Cost Price Total" numFmtId="164">
      <sharedItems containsSemiMixedTypes="0" containsString="0" containsNumber="1" containsInteger="1" minValue="75" maxValue="36000"/>
    </cacheField>
    <cacheField name="Hand-In Stock Value" numFmtId="164">
      <sharedItems containsSemiMixedTypes="0" containsString="0" containsNumber="1" containsInteger="1" minValue="75" maxValue="36000"/>
    </cacheField>
    <cacheField name="Revenue" numFmtId="164">
      <sharedItems containsSemiMixedTypes="0" containsString="0" containsNumber="1" containsInteger="1" minValue="100" maxValue="72000"/>
    </cacheField>
    <cacheField name="Sales Rate" numFmtId="10">
      <sharedItems containsSemiMixedTypes="0" containsString="0" containsNumber="1" minValue="0.17857142857142858" maxValue="0.81034482758620685"/>
    </cacheField>
    <cacheField name="Status" numFmtId="10">
      <sharedItems count="3">
        <s v="Best Seller"/>
        <s v="Average"/>
        <s v="Dead Stock"/>
      </sharedItems>
    </cacheField>
  </cacheFields>
  <extLst>
    <ext xmlns:x14="http://schemas.microsoft.com/office/spreadsheetml/2009/9/main" uri="{725AE2AE-9491-48be-B2B4-4EB974FC3084}">
      <x14:pivotCacheDefinition pivotCacheId="1637694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s v="P105"/>
    <x v="0"/>
    <x v="0"/>
    <n v="70"/>
    <n v="30"/>
    <n v="80"/>
    <n v="20"/>
    <n v="900"/>
    <n v="18000"/>
    <n v="18000"/>
    <n v="72000"/>
    <n v="0.8"/>
    <x v="0"/>
  </r>
  <r>
    <s v="P101"/>
    <x v="1"/>
    <x v="1"/>
    <n v="50"/>
    <n v="20"/>
    <n v="40"/>
    <n v="30"/>
    <n v="1200"/>
    <n v="36000"/>
    <n v="36000"/>
    <n v="48000"/>
    <n v="0.5714285714285714"/>
    <x v="1"/>
  </r>
  <r>
    <s v="P122"/>
    <x v="2"/>
    <x v="1"/>
    <n v="40"/>
    <n v="18"/>
    <n v="45"/>
    <n v="13"/>
    <n v="600"/>
    <n v="7800"/>
    <n v="7800"/>
    <n v="27000"/>
    <n v="0.77586206896551724"/>
    <x v="0"/>
  </r>
  <r>
    <s v="P106"/>
    <x v="3"/>
    <x v="0"/>
    <n v="45"/>
    <n v="18"/>
    <n v="32"/>
    <n v="31"/>
    <n v="700"/>
    <n v="21700"/>
    <n v="21700"/>
    <n v="22400"/>
    <n v="0.50793650793650791"/>
    <x v="1"/>
  </r>
  <r>
    <s v="P123"/>
    <x v="4"/>
    <x v="1"/>
    <n v="30"/>
    <n v="15"/>
    <n v="35"/>
    <n v="10"/>
    <n v="350"/>
    <n v="3500"/>
    <n v="3500"/>
    <n v="12250"/>
    <n v="0.77777777777777779"/>
    <x v="0"/>
  </r>
  <r>
    <s v="P102"/>
    <x v="5"/>
    <x v="2"/>
    <n v="40"/>
    <n v="15"/>
    <n v="20"/>
    <n v="35"/>
    <n v="500"/>
    <n v="17500"/>
    <n v="17500"/>
    <n v="10000"/>
    <n v="0.36363636363636365"/>
    <x v="1"/>
  </r>
  <r>
    <s v="P121"/>
    <x v="6"/>
    <x v="2"/>
    <n v="25"/>
    <n v="10"/>
    <n v="20"/>
    <n v="15"/>
    <n v="400"/>
    <n v="6000"/>
    <n v="6000"/>
    <n v="8000"/>
    <n v="0.5714285714285714"/>
    <x v="1"/>
  </r>
  <r>
    <s v="P107"/>
    <x v="7"/>
    <x v="2"/>
    <n v="55"/>
    <n v="22"/>
    <n v="48"/>
    <n v="29"/>
    <n v="150"/>
    <n v="4350"/>
    <n v="4350"/>
    <n v="7200"/>
    <n v="0.62337662337662336"/>
    <x v="1"/>
  </r>
  <r>
    <s v="P126"/>
    <x v="8"/>
    <x v="1"/>
    <n v="45"/>
    <n v="20"/>
    <n v="40"/>
    <n v="25"/>
    <n v="120"/>
    <n v="3000"/>
    <n v="3000"/>
    <n v="4800"/>
    <n v="0.61538461538461542"/>
    <x v="1"/>
  </r>
  <r>
    <s v="P124"/>
    <x v="9"/>
    <x v="1"/>
    <n v="25"/>
    <n v="12"/>
    <n v="23"/>
    <n v="14"/>
    <n v="200"/>
    <n v="2800"/>
    <n v="2800"/>
    <n v="4600"/>
    <n v="0.6216216216216216"/>
    <x v="1"/>
  </r>
  <r>
    <s v="P125"/>
    <x v="10"/>
    <x v="1"/>
    <n v="50"/>
    <n v="22"/>
    <n v="55"/>
    <n v="17"/>
    <n v="80"/>
    <n v="1360"/>
    <n v="1360"/>
    <n v="4400"/>
    <n v="0.76388888888888884"/>
    <x v="0"/>
  </r>
  <r>
    <s v="P108"/>
    <x v="11"/>
    <x v="3"/>
    <n v="25"/>
    <n v="12"/>
    <n v="9"/>
    <n v="28"/>
    <n v="200"/>
    <n v="5600"/>
    <n v="5600"/>
    <n v="1800"/>
    <n v="0.24324324324324326"/>
    <x v="2"/>
  </r>
  <r>
    <s v="P129"/>
    <x v="12"/>
    <x v="1"/>
    <n v="40"/>
    <n v="18"/>
    <n v="47"/>
    <n v="11"/>
    <n v="80"/>
    <n v="880"/>
    <n v="880"/>
    <n v="3760"/>
    <n v="0.81034482758620685"/>
    <x v="0"/>
  </r>
  <r>
    <s v="P127"/>
    <x v="13"/>
    <x v="1"/>
    <n v="60"/>
    <n v="25"/>
    <n v="60"/>
    <n v="25"/>
    <n v="60"/>
    <n v="1500"/>
    <n v="1500"/>
    <n v="3600"/>
    <n v="0.70588235294117652"/>
    <x v="1"/>
  </r>
  <r>
    <s v="P109"/>
    <x v="14"/>
    <x v="2"/>
    <n v="35"/>
    <n v="15"/>
    <n v="38"/>
    <n v="12"/>
    <n v="80"/>
    <n v="960"/>
    <n v="960"/>
    <n v="3040"/>
    <n v="0.76"/>
    <x v="0"/>
  </r>
  <r>
    <s v="P103"/>
    <x v="15"/>
    <x v="2"/>
    <n v="60"/>
    <n v="25"/>
    <n v="60"/>
    <n v="25"/>
    <n v="50"/>
    <n v="1250"/>
    <n v="1250"/>
    <n v="3000"/>
    <n v="0.70588235294117652"/>
    <x v="1"/>
  </r>
  <r>
    <s v="P128"/>
    <x v="16"/>
    <x v="1"/>
    <n v="35"/>
    <n v="15"/>
    <n v="30"/>
    <n v="20"/>
    <n v="100"/>
    <n v="2000"/>
    <n v="2000"/>
    <n v="3000"/>
    <n v="0.6"/>
    <x v="1"/>
  </r>
  <r>
    <s v="P110"/>
    <x v="17"/>
    <x v="2"/>
    <n v="40"/>
    <n v="20"/>
    <n v="40"/>
    <n v="20"/>
    <n v="60"/>
    <n v="1200"/>
    <n v="1200"/>
    <n v="2400"/>
    <n v="0.66666666666666663"/>
    <x v="1"/>
  </r>
  <r>
    <s v="P146"/>
    <x v="18"/>
    <x v="3"/>
    <n v="25"/>
    <n v="10"/>
    <n v="16"/>
    <n v="19"/>
    <n v="150"/>
    <n v="2850"/>
    <n v="2850"/>
    <n v="2400"/>
    <n v="0.45714285714285713"/>
    <x v="1"/>
  </r>
  <r>
    <s v="P111"/>
    <x v="19"/>
    <x v="3"/>
    <n v="20"/>
    <n v="8"/>
    <n v="5"/>
    <n v="23"/>
    <n v="150"/>
    <n v="3450"/>
    <n v="3450"/>
    <n v="750"/>
    <n v="0.17857142857142858"/>
    <x v="2"/>
  </r>
  <r>
    <s v="P120"/>
    <x v="20"/>
    <x v="3"/>
    <n v="15"/>
    <n v="6"/>
    <n v="10"/>
    <n v="11"/>
    <n v="200"/>
    <n v="2200"/>
    <n v="2200"/>
    <n v="2000"/>
    <n v="0.47619047619047616"/>
    <x v="1"/>
  </r>
  <r>
    <s v="P118"/>
    <x v="21"/>
    <x v="2"/>
    <n v="30"/>
    <n v="12"/>
    <n v="24"/>
    <n v="18"/>
    <n v="80"/>
    <n v="1440"/>
    <n v="1440"/>
    <n v="1920"/>
    <n v="0.5714285714285714"/>
    <x v="1"/>
  </r>
  <r>
    <s v="P119"/>
    <x v="22"/>
    <x v="2"/>
    <n v="20"/>
    <n v="8"/>
    <n v="15"/>
    <n v="13"/>
    <n v="120"/>
    <n v="1560"/>
    <n v="1560"/>
    <n v="1800"/>
    <n v="0.5357142857142857"/>
    <x v="1"/>
  </r>
  <r>
    <s v="P117"/>
    <x v="23"/>
    <x v="2"/>
    <n v="25"/>
    <n v="10"/>
    <n v="16"/>
    <n v="19"/>
    <n v="100"/>
    <n v="1900"/>
    <n v="1900"/>
    <n v="1600"/>
    <n v="0.45714285714285713"/>
    <x v="1"/>
  </r>
  <r>
    <s v="P104"/>
    <x v="24"/>
    <x v="2"/>
    <n v="30"/>
    <n v="10"/>
    <n v="12"/>
    <n v="28"/>
    <n v="100"/>
    <n v="2800"/>
    <n v="2800"/>
    <n v="1200"/>
    <n v="0.3"/>
    <x v="1"/>
  </r>
  <r>
    <s v="P144"/>
    <x v="25"/>
    <x v="3"/>
    <n v="40"/>
    <n v="18"/>
    <n v="35"/>
    <n v="23"/>
    <n v="30"/>
    <n v="690"/>
    <n v="690"/>
    <n v="1050"/>
    <n v="0.60344827586206895"/>
    <x v="1"/>
  </r>
  <r>
    <s v="P116"/>
    <x v="26"/>
    <x v="2"/>
    <n v="35"/>
    <n v="15"/>
    <n v="25"/>
    <n v="25"/>
    <n v="40"/>
    <n v="1000"/>
    <n v="1000"/>
    <n v="1000"/>
    <n v="0.5"/>
    <x v="1"/>
  </r>
  <r>
    <s v="P130"/>
    <x v="27"/>
    <x v="1"/>
    <n v="30"/>
    <n v="12"/>
    <n v="20"/>
    <n v="22"/>
    <n v="50"/>
    <n v="1100"/>
    <n v="1100"/>
    <n v="1000"/>
    <n v="0.47619047619047616"/>
    <x v="1"/>
  </r>
  <r>
    <s v="P113"/>
    <x v="28"/>
    <x v="3"/>
    <n v="50"/>
    <n v="25"/>
    <n v="46"/>
    <n v="29"/>
    <n v="20"/>
    <n v="580"/>
    <n v="580"/>
    <n v="920"/>
    <n v="0.61333333333333329"/>
    <x v="1"/>
  </r>
  <r>
    <s v="P112"/>
    <x v="29"/>
    <x v="3"/>
    <n v="30"/>
    <n v="15"/>
    <n v="29"/>
    <n v="16"/>
    <n v="30"/>
    <n v="480"/>
    <n v="480"/>
    <n v="870"/>
    <n v="0.64444444444444449"/>
    <x v="1"/>
  </r>
  <r>
    <s v="P115"/>
    <x v="30"/>
    <x v="3"/>
    <n v="40"/>
    <n v="20"/>
    <n v="32"/>
    <n v="28"/>
    <n v="25"/>
    <n v="700"/>
    <n v="700"/>
    <n v="800"/>
    <n v="0.53333333333333333"/>
    <x v="1"/>
  </r>
  <r>
    <s v="P139"/>
    <x v="31"/>
    <x v="3"/>
    <n v="30"/>
    <n v="15"/>
    <n v="36"/>
    <n v="9"/>
    <n v="20"/>
    <n v="180"/>
    <n v="180"/>
    <n v="720"/>
    <n v="0.8"/>
    <x v="0"/>
  </r>
  <r>
    <s v="P114"/>
    <x v="32"/>
    <x v="3"/>
    <n v="60"/>
    <n v="30"/>
    <n v="60"/>
    <n v="30"/>
    <n v="10"/>
    <n v="300"/>
    <n v="300"/>
    <n v="600"/>
    <n v="0.66666666666666663"/>
    <x v="1"/>
  </r>
  <r>
    <s v="P136"/>
    <x v="33"/>
    <x v="3"/>
    <n v="15"/>
    <n v="6"/>
    <n v="5"/>
    <n v="16"/>
    <n v="50"/>
    <n v="800"/>
    <n v="800"/>
    <n v="250"/>
    <n v="0.23809523809523808"/>
    <x v="2"/>
  </r>
  <r>
    <s v="P143"/>
    <x v="34"/>
    <x v="3"/>
    <n v="30"/>
    <n v="12"/>
    <n v="25"/>
    <n v="17"/>
    <n v="20"/>
    <n v="340"/>
    <n v="340"/>
    <n v="500"/>
    <n v="0.59523809523809523"/>
    <x v="1"/>
  </r>
  <r>
    <s v="P131"/>
    <x v="35"/>
    <x v="3"/>
    <n v="25"/>
    <n v="10"/>
    <n v="8"/>
    <n v="27"/>
    <n v="30"/>
    <n v="810"/>
    <n v="810"/>
    <n v="240"/>
    <n v="0.22857142857142856"/>
    <x v="2"/>
  </r>
  <r>
    <s v="P132"/>
    <x v="36"/>
    <x v="3"/>
    <n v="50"/>
    <n v="20"/>
    <n v="44"/>
    <n v="26"/>
    <n v="10"/>
    <n v="260"/>
    <n v="260"/>
    <n v="440"/>
    <n v="0.62857142857142856"/>
    <x v="1"/>
  </r>
  <r>
    <s v="P138"/>
    <x v="37"/>
    <x v="3"/>
    <n v="40"/>
    <n v="18"/>
    <n v="45"/>
    <n v="13"/>
    <n v="8"/>
    <n v="104"/>
    <n v="104"/>
    <n v="360"/>
    <n v="0.77586206896551724"/>
    <x v="0"/>
  </r>
  <r>
    <s v="P145"/>
    <x v="38"/>
    <x v="3"/>
    <n v="50"/>
    <n v="20"/>
    <n v="45"/>
    <n v="25"/>
    <n v="8"/>
    <n v="200"/>
    <n v="200"/>
    <n v="360"/>
    <n v="0.6428571428571429"/>
    <x v="1"/>
  </r>
  <r>
    <s v="P134"/>
    <x v="39"/>
    <x v="3"/>
    <n v="30"/>
    <n v="12"/>
    <n v="20"/>
    <n v="22"/>
    <n v="15"/>
    <n v="330"/>
    <n v="330"/>
    <n v="300"/>
    <n v="0.47619047619047616"/>
    <x v="1"/>
  </r>
  <r>
    <s v="P135"/>
    <x v="40"/>
    <x v="2"/>
    <n v="20"/>
    <n v="8"/>
    <n v="15"/>
    <n v="13"/>
    <n v="20"/>
    <n v="260"/>
    <n v="260"/>
    <n v="300"/>
    <n v="0.5357142857142857"/>
    <x v="1"/>
  </r>
  <r>
    <s v="P140"/>
    <x v="41"/>
    <x v="3"/>
    <n v="35"/>
    <n v="12"/>
    <n v="20"/>
    <n v="27"/>
    <n v="15"/>
    <n v="405"/>
    <n v="405"/>
    <n v="300"/>
    <n v="0.42553191489361702"/>
    <x v="1"/>
  </r>
  <r>
    <s v="P142"/>
    <x v="42"/>
    <x v="3"/>
    <n v="20"/>
    <n v="10"/>
    <n v="20"/>
    <n v="10"/>
    <n v="15"/>
    <n v="150"/>
    <n v="150"/>
    <n v="300"/>
    <n v="0.66666666666666663"/>
    <x v="1"/>
  </r>
  <r>
    <s v="P141"/>
    <x v="43"/>
    <x v="3"/>
    <n v="25"/>
    <n v="8"/>
    <n v="17"/>
    <n v="16"/>
    <n v="10"/>
    <n v="160"/>
    <n v="160"/>
    <n v="170"/>
    <n v="0.51515151515151514"/>
    <x v="1"/>
  </r>
  <r>
    <s v="P133"/>
    <x v="44"/>
    <x v="3"/>
    <n v="40"/>
    <n v="15"/>
    <n v="26"/>
    <n v="29"/>
    <n v="5"/>
    <n v="145"/>
    <n v="145"/>
    <n v="130"/>
    <n v="0.47272727272727272"/>
    <x v="1"/>
  </r>
  <r>
    <s v="P137"/>
    <x v="45"/>
    <x v="3"/>
    <n v="25"/>
    <n v="10"/>
    <n v="20"/>
    <n v="15"/>
    <n v="5"/>
    <n v="75"/>
    <n v="75"/>
    <n v="100"/>
    <n v="0.571428571428571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1A702A-1261-4332-B349-0CD18B4A85B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atus">
  <location ref="Y1:AA5" firstHeaderRow="0" firstDataRow="1" firstDataCol="1"/>
  <pivotFields count="13">
    <pivotField showAll="0"/>
    <pivotField showAll="0">
      <items count="47">
        <item x="43"/>
        <item x="39"/>
        <item x="4"/>
        <item x="27"/>
        <item x="19"/>
        <item x="29"/>
        <item x="32"/>
        <item x="33"/>
        <item x="11"/>
        <item x="20"/>
        <item x="18"/>
        <item x="22"/>
        <item x="23"/>
        <item x="6"/>
        <item x="21"/>
        <item x="2"/>
        <item x="13"/>
        <item x="24"/>
        <item x="15"/>
        <item x="37"/>
        <item x="1"/>
        <item x="31"/>
        <item x="34"/>
        <item x="5"/>
        <item x="35"/>
        <item x="9"/>
        <item x="36"/>
        <item x="12"/>
        <item x="30"/>
        <item x="16"/>
        <item x="45"/>
        <item x="10"/>
        <item x="7"/>
        <item x="0"/>
        <item x="8"/>
        <item x="3"/>
        <item x="44"/>
        <item x="28"/>
        <item x="41"/>
        <item x="42"/>
        <item x="38"/>
        <item x="17"/>
        <item x="40"/>
        <item x="25"/>
        <item x="14"/>
        <item x="26"/>
        <item t="default"/>
      </items>
    </pivotField>
    <pivotField showAll="0">
      <items count="5">
        <item x="3"/>
        <item x="1"/>
        <item x="0"/>
        <item x="2"/>
        <item t="default"/>
      </items>
    </pivotField>
    <pivotField numFmtId="1" showAll="0"/>
    <pivotField numFmtId="1" showAll="0"/>
    <pivotField numFmtId="1" showAll="0"/>
    <pivotField numFmtId="1" showAll="0"/>
    <pivotField numFmtId="164" showAll="0"/>
    <pivotField numFmtId="164" showAll="0"/>
    <pivotField dataField="1" numFmtId="164" showAll="0"/>
    <pivotField dataField="1" numFmtId="164" showAll="0"/>
    <pivotField numFmtId="10" showAll="0"/>
    <pivotField axis="axisRow" showAll="0">
      <items count="4">
        <item x="1"/>
        <item x="0"/>
        <item x="2"/>
        <item t="default"/>
      </items>
    </pivotField>
  </pivotFields>
  <rowFields count="1">
    <field x="12"/>
  </rowFields>
  <rowItems count="4">
    <i>
      <x/>
    </i>
    <i>
      <x v="1"/>
    </i>
    <i>
      <x v="2"/>
    </i>
    <i t="grand">
      <x/>
    </i>
  </rowItems>
  <colFields count="1">
    <field x="-2"/>
  </colFields>
  <colItems count="2">
    <i>
      <x/>
    </i>
    <i i="1">
      <x v="1"/>
    </i>
  </colItems>
  <dataFields count="2">
    <dataField name="Hand-In Stock Value " fld="9" baseField="12" baseItem="0" numFmtId="164"/>
    <dataField name="Revenue " fld="10" baseField="12"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DD041E-80C5-4751-9039-FC43C9E87CF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Status">
  <location ref="R1:S5" firstHeaderRow="1" firstDataRow="1" firstDataCol="1"/>
  <pivotFields count="13">
    <pivotField showAll="0"/>
    <pivotField dataField="1" showAll="0">
      <items count="47">
        <item x="43"/>
        <item x="39"/>
        <item x="4"/>
        <item x="27"/>
        <item x="19"/>
        <item x="29"/>
        <item x="32"/>
        <item x="33"/>
        <item x="11"/>
        <item x="20"/>
        <item x="18"/>
        <item x="22"/>
        <item x="23"/>
        <item x="6"/>
        <item x="21"/>
        <item x="2"/>
        <item x="13"/>
        <item x="24"/>
        <item x="15"/>
        <item x="37"/>
        <item x="1"/>
        <item x="31"/>
        <item x="34"/>
        <item x="5"/>
        <item x="35"/>
        <item x="9"/>
        <item x="36"/>
        <item x="12"/>
        <item x="30"/>
        <item x="16"/>
        <item x="45"/>
        <item x="10"/>
        <item x="7"/>
        <item x="0"/>
        <item x="8"/>
        <item x="3"/>
        <item x="44"/>
        <item x="28"/>
        <item x="41"/>
        <item x="42"/>
        <item x="38"/>
        <item x="17"/>
        <item x="40"/>
        <item x="25"/>
        <item x="14"/>
        <item x="26"/>
        <item t="default"/>
      </items>
    </pivotField>
    <pivotField showAll="0">
      <items count="5">
        <item x="3"/>
        <item x="1"/>
        <item x="0"/>
        <item x="2"/>
        <item t="default"/>
      </items>
    </pivotField>
    <pivotField numFmtId="1" showAll="0"/>
    <pivotField numFmtId="1" showAll="0"/>
    <pivotField numFmtId="1" showAll="0"/>
    <pivotField numFmtId="1" showAll="0"/>
    <pivotField numFmtId="164" showAll="0"/>
    <pivotField numFmtId="164" showAll="0"/>
    <pivotField numFmtId="164" showAll="0"/>
    <pivotField numFmtId="164" showAll="0"/>
    <pivotField numFmtId="10" showAll="0"/>
    <pivotField axis="axisRow" showAll="0">
      <items count="4">
        <item x="1"/>
        <item x="0"/>
        <item x="2"/>
        <item t="default"/>
      </items>
    </pivotField>
  </pivotFields>
  <rowFields count="1">
    <field x="12"/>
  </rowFields>
  <rowItems count="4">
    <i>
      <x/>
    </i>
    <i>
      <x v="1"/>
    </i>
    <i>
      <x v="2"/>
    </i>
    <i t="grand">
      <x/>
    </i>
  </rowItems>
  <colItems count="1">
    <i/>
  </colItems>
  <dataFields count="1">
    <dataField name="Count of Product"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2" count="1" selected="0">
            <x v="0"/>
          </reference>
        </references>
      </pivotArea>
    </chartFormat>
    <chartFormat chart="15" format="10">
      <pivotArea type="data" outline="0" fieldPosition="0">
        <references count="2">
          <reference field="4294967294" count="1" selected="0">
            <x v="0"/>
          </reference>
          <reference field="12" count="1" selected="0">
            <x v="1"/>
          </reference>
        </references>
      </pivotArea>
    </chartFormat>
    <chartFormat chart="15"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DE9D73-5C13-4510-B860-7C7A43BF63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K1:L14" firstHeaderRow="1" firstDataRow="1" firstDataCol="1"/>
  <pivotFields count="13">
    <pivotField showAll="0"/>
    <pivotField axis="axisRow" showAll="0" sortType="ascending">
      <items count="47">
        <item x="43"/>
        <item x="39"/>
        <item x="4"/>
        <item x="27"/>
        <item x="19"/>
        <item x="29"/>
        <item x="32"/>
        <item x="33"/>
        <item x="11"/>
        <item x="20"/>
        <item x="18"/>
        <item x="22"/>
        <item x="23"/>
        <item x="6"/>
        <item x="21"/>
        <item x="2"/>
        <item x="13"/>
        <item x="24"/>
        <item x="15"/>
        <item x="37"/>
        <item x="1"/>
        <item x="31"/>
        <item x="34"/>
        <item x="5"/>
        <item x="35"/>
        <item x="9"/>
        <item x="36"/>
        <item x="12"/>
        <item x="30"/>
        <item x="16"/>
        <item x="45"/>
        <item x="10"/>
        <item x="7"/>
        <item x="0"/>
        <item x="8"/>
        <item x="3"/>
        <item x="44"/>
        <item x="28"/>
        <item x="41"/>
        <item x="42"/>
        <item x="38"/>
        <item x="17"/>
        <item x="40"/>
        <item x="25"/>
        <item x="14"/>
        <item x="26"/>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numFmtId="1" showAll="0"/>
    <pivotField numFmtId="1" showAll="0"/>
    <pivotField numFmtId="1" showAll="0"/>
    <pivotField numFmtId="1" showAll="0"/>
    <pivotField numFmtId="164" showAll="0"/>
    <pivotField numFmtId="164" showAll="0"/>
    <pivotField numFmtId="164" showAll="0"/>
    <pivotField dataField="1" numFmtId="164" showAll="0"/>
    <pivotField numFmtId="10" showAll="0"/>
    <pivotField showAll="0">
      <items count="4">
        <item h="1" x="1"/>
        <item x="0"/>
        <item x="2"/>
        <item t="default"/>
      </items>
    </pivotField>
  </pivotFields>
  <rowFields count="1">
    <field x="1"/>
  </rowFields>
  <rowItems count="13">
    <i>
      <x v="24"/>
    </i>
    <i>
      <x v="7"/>
    </i>
    <i>
      <x v="19"/>
    </i>
    <i>
      <x v="21"/>
    </i>
    <i>
      <x v="4"/>
    </i>
    <i>
      <x v="8"/>
    </i>
    <i>
      <x v="44"/>
    </i>
    <i>
      <x v="27"/>
    </i>
    <i>
      <x v="31"/>
    </i>
    <i>
      <x v="2"/>
    </i>
    <i>
      <x v="15"/>
    </i>
    <i>
      <x v="33"/>
    </i>
    <i t="grand">
      <x/>
    </i>
  </rowItems>
  <colItems count="1">
    <i/>
  </colItems>
  <dataFields count="1">
    <dataField name="Revenue " fld="10" baseField="1" baseItem="25"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1E582D-B6BF-48CF-8638-1FD3CF0C12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location ref="B3:C16" firstHeaderRow="1" firstDataRow="1" firstDataCol="1" rowPageCount="1" colPageCount="1"/>
  <pivotFields count="13">
    <pivotField showAll="0"/>
    <pivotField axis="axisRow" showAll="0" sortType="ascending">
      <items count="47">
        <item x="43"/>
        <item x="39"/>
        <item x="4"/>
        <item x="27"/>
        <item x="19"/>
        <item x="29"/>
        <item x="32"/>
        <item x="33"/>
        <item x="11"/>
        <item x="20"/>
        <item x="18"/>
        <item x="22"/>
        <item x="23"/>
        <item x="6"/>
        <item x="21"/>
        <item x="2"/>
        <item x="13"/>
        <item x="24"/>
        <item x="15"/>
        <item x="37"/>
        <item x="1"/>
        <item x="31"/>
        <item x="34"/>
        <item x="5"/>
        <item x="35"/>
        <item x="9"/>
        <item x="36"/>
        <item x="12"/>
        <item x="30"/>
        <item x="16"/>
        <item x="45"/>
        <item x="10"/>
        <item x="7"/>
        <item x="0"/>
        <item x="8"/>
        <item x="3"/>
        <item x="44"/>
        <item x="28"/>
        <item x="41"/>
        <item x="42"/>
        <item x="38"/>
        <item x="17"/>
        <item x="40"/>
        <item x="25"/>
        <item x="14"/>
        <item x="26"/>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numFmtId="1" showAll="0"/>
    <pivotField numFmtId="1" showAll="0"/>
    <pivotField numFmtId="1" showAll="0"/>
    <pivotField numFmtId="1" showAll="0"/>
    <pivotField numFmtId="164" showAll="0"/>
    <pivotField numFmtId="164" showAll="0"/>
    <pivotField numFmtId="164" showAll="0"/>
    <pivotField numFmtId="164" showAll="0"/>
    <pivotField dataField="1" numFmtId="10" showAll="0"/>
    <pivotField axis="axisPage" multipleItemSelectionAllowed="1" showAll="0">
      <items count="4">
        <item h="1" x="1"/>
        <item x="0"/>
        <item x="2"/>
        <item t="default"/>
      </items>
    </pivotField>
  </pivotFields>
  <rowFields count="1">
    <field x="1"/>
  </rowFields>
  <rowItems count="13">
    <i>
      <x v="4"/>
    </i>
    <i>
      <x v="24"/>
    </i>
    <i>
      <x v="7"/>
    </i>
    <i>
      <x v="8"/>
    </i>
    <i>
      <x v="44"/>
    </i>
    <i>
      <x v="31"/>
    </i>
    <i>
      <x v="19"/>
    </i>
    <i>
      <x v="15"/>
    </i>
    <i>
      <x v="2"/>
    </i>
    <i>
      <x v="33"/>
    </i>
    <i>
      <x v="21"/>
    </i>
    <i>
      <x v="27"/>
    </i>
    <i t="grand">
      <x/>
    </i>
  </rowItems>
  <colItems count="1">
    <i/>
  </colItems>
  <pageFields count="1">
    <pageField fld="12" hier="-1"/>
  </pageFields>
  <dataFields count="1">
    <dataField name="Sum of Sales Rate" fld="11" baseField="0" baseItem="0"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BCBFED-876B-46AA-9034-006D4838E289}" sourceName="Category">
  <pivotTables>
    <pivotTable tabId="2" name="PivotTable1"/>
    <pivotTable tabId="2" name="PivotTable2"/>
    <pivotTable tabId="2" name="PivotTable3"/>
    <pivotTable tabId="2" name="PivotTable4"/>
  </pivotTables>
  <data>
    <tabular pivotCacheId="163769483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E3BF022-BD0B-43CB-BA95-A2EE6235B834}" sourceName="Status">
  <pivotTables>
    <pivotTable tabId="2" name="PivotTable1"/>
    <pivotTable tabId="2" name="PivotTable2"/>
  </pivotTables>
  <data>
    <tabular pivotCacheId="1637694831">
      <items count="3">
        <i x="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80429A5-AC28-4BE7-A8EB-C72C22D290C8}" sourceName="Product">
  <pivotTables>
    <pivotTable tabId="2" name="PivotTable2"/>
    <pivotTable tabId="2" name="PivotTable1"/>
    <pivotTable tabId="2" name="PivotTable3"/>
    <pivotTable tabId="2" name="PivotTable4"/>
  </pivotTables>
  <data>
    <tabular pivotCacheId="1637694831">
      <items count="46">
        <i x="43" s="1"/>
        <i x="39" s="1"/>
        <i x="4" s="1"/>
        <i x="27" s="1"/>
        <i x="19" s="1"/>
        <i x="29" s="1"/>
        <i x="32" s="1"/>
        <i x="33" s="1"/>
        <i x="11" s="1"/>
        <i x="20" s="1"/>
        <i x="18" s="1"/>
        <i x="22" s="1"/>
        <i x="23" s="1"/>
        <i x="6" s="1"/>
        <i x="21" s="1"/>
        <i x="2" s="1"/>
        <i x="13" s="1"/>
        <i x="24" s="1"/>
        <i x="15" s="1"/>
        <i x="37" s="1"/>
        <i x="1" s="1"/>
        <i x="31" s="1"/>
        <i x="34" s="1"/>
        <i x="5" s="1"/>
        <i x="35" s="1"/>
        <i x="9" s="1"/>
        <i x="36" s="1"/>
        <i x="12" s="1"/>
        <i x="30" s="1"/>
        <i x="16" s="1"/>
        <i x="45" s="1"/>
        <i x="10" s="1"/>
        <i x="7" s="1"/>
        <i x="0" s="1"/>
        <i x="8" s="1"/>
        <i x="3" s="1"/>
        <i x="44" s="1"/>
        <i x="28" s="1"/>
        <i x="41" s="1"/>
        <i x="42" s="1"/>
        <i x="38" s="1"/>
        <i x="17" s="1"/>
        <i x="40" s="1"/>
        <i x="25" s="1"/>
        <i x="14" s="1"/>
        <i x="2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00190FE-45BA-47DD-9442-24CD61F98C0F}" cache="Slicer_Category" caption="Category" rowHeight="257175"/>
  <slicer name="Status" xr10:uid="{AF1E6482-E79E-48B8-87A6-D204E8E4A25D}" cache="Slicer_Status" caption="Status" rowHeight="257175"/>
  <slicer name="Product" xr10:uid="{A6EC4BF3-6A44-4603-ADD4-F9D5A5EAE6DC}" cache="Slicer_Product" caption="Produc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FAD415-E988-4C19-B76E-EB2B864A2FD5}" name="Table1" displayName="Table1" ref="A1:M47" totalsRowShown="0" headerRowDxfId="25" dataDxfId="23" headerRowBorderDxfId="24" headerRowCellStyle="Comma" dataCellStyle="Comma">
  <sortState xmlns:xlrd2="http://schemas.microsoft.com/office/spreadsheetml/2017/richdata2" ref="A2:M47">
    <sortCondition descending="1" ref="M1:M47"/>
  </sortState>
  <tableColumns count="13">
    <tableColumn id="1" xr3:uid="{23213178-9D6C-4AC6-BD3B-9A207E9DA030}" name="Product ID" dataDxfId="22"/>
    <tableColumn id="2" xr3:uid="{EE9CF47D-1946-47D2-BB63-9CE1F62A756F}" name="Product" dataDxfId="21"/>
    <tableColumn id="3" xr3:uid="{09EA34F7-D450-4B81-8925-DAF9EE1C2C88}" name="Category" dataDxfId="20"/>
    <tableColumn id="4" xr3:uid="{08299DED-CB8B-45F7-B9DC-FA2C6337E6F6}" name="Opening Stock" dataDxfId="19"/>
    <tableColumn id="5" xr3:uid="{54BAE33B-CB90-4F78-841E-37BF2FC76188}" name="Purchase/Stock In" dataDxfId="18"/>
    <tableColumn id="6" xr3:uid="{2B6A9D45-3029-46A7-BDD7-C1A95DA8EA57}" name=" Units Sold" dataDxfId="17"/>
    <tableColumn id="7" xr3:uid="{71CD15CE-7154-4C94-B257-48BD7A74C74D}" name="Hand-In-Stock" dataDxfId="16">
      <calculatedColumnFormula>(D2+E2)-F2</calculatedColumnFormula>
    </tableColumn>
    <tableColumn id="8" xr3:uid="{F3303A9A-1F40-447A-A7D2-8506B76DA207}" name="Cost Price /Unit" dataDxfId="15" dataCellStyle="Comma"/>
    <tableColumn id="9" xr3:uid="{934AF539-4700-4772-B105-E60BC4C26A92}" name="Cost Price Total" dataDxfId="14" dataCellStyle="Comma">
      <calculatedColumnFormula>G2*H2</calculatedColumnFormula>
    </tableColumn>
    <tableColumn id="13" xr3:uid="{147BB88D-D3FF-429C-9E79-E33ACBA92184}" name="Hand-In Stock Value" dataDxfId="13" dataCellStyle="Comma">
      <calculatedColumnFormula>Table1[[#This Row],[Hand-In-Stock]]*Table1[[#This Row],[Cost Price /Unit]]</calculatedColumnFormula>
    </tableColumn>
    <tableColumn id="10" xr3:uid="{BD104396-F087-4201-8C30-88C9ED43E9FD}" name="Revenue" dataDxfId="12" dataCellStyle="Comma">
      <calculatedColumnFormula>F2*H2</calculatedColumnFormula>
    </tableColumn>
    <tableColumn id="11" xr3:uid="{C96317FB-C920-42D4-AE6A-CD469271FA6B}" name="Sales Rate" dataDxfId="11" dataCellStyle="Comma">
      <calculatedColumnFormula>F2/(D2+E2)</calculatedColumnFormula>
    </tableColumn>
    <tableColumn id="12" xr3:uid="{2F9E33C8-9449-44A9-97E8-7B27383FE178}" name="Status" dataDxfId="10" dataCellStyle="Comma">
      <calculatedColumnFormula array="1">_xlfn.IFS(L2&lt;25%, "Dead Stock", L2&lt;75%, "Average", L2&lt;=100%, "Best Seller")</calculatedColumnFormula>
    </tableColumn>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36C07D-9E7C-4C17-B5F8-EF9CBD58A367}" name="Table2" displayName="Table2" ref="O1:T2" totalsRowShown="0" headerRowDxfId="9">
  <tableColumns count="6">
    <tableColumn id="1" xr3:uid="{9B63BC32-0E48-4E28-ACC7-2ABAD0BEB974}" name="Current  Stock" dataDxfId="8">
      <calculatedColumnFormula>SUM(Table1[Hand-In-Stock])</calculatedColumnFormula>
    </tableColumn>
    <tableColumn id="2" xr3:uid="{C1E2408E-CEB0-4974-9A6E-7C13BF787723}" name="Total Units Sold" dataDxfId="7" dataCellStyle="Comma">
      <calculatedColumnFormula>SUM(Table1[[ Units Sold]])</calculatedColumnFormula>
    </tableColumn>
    <tableColumn id="3" xr3:uid="{19DC4154-CDC0-4E96-AD08-E325C6993ADA}" name="Revenue" dataDxfId="6">
      <calculatedColumnFormula>SUM(Table1[Revenue])</calculatedColumnFormula>
    </tableColumn>
    <tableColumn id="4" xr3:uid="{6BBD657D-8EC0-4EFD-8F16-61DED4967691}" name="Stock Value" dataDxfId="5">
      <calculatedColumnFormula>SUM(Table1[Hand-In Stock Value])</calculatedColumnFormula>
    </tableColumn>
    <tableColumn id="5" xr3:uid="{411AFF8C-0D2D-4093-9EA1-C6919A52CBAB}" name="Best Seller" dataDxfId="4">
      <calculatedColumnFormula>COUNTA(M6:M13)</calculatedColumnFormula>
    </tableColumn>
    <tableColumn id="6" xr3:uid="{3AE587AB-5856-4566-BAC8-2736FEBE02F5}" name="Dead Stock" dataDxfId="3">
      <calculatedColumnFormula>COUNTA(M2:M5)</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7D313-58F7-4421-A924-BE9249CA7D0F}">
  <dimension ref="A1:T47"/>
  <sheetViews>
    <sheetView showGridLines="0" topLeftCell="E1" workbookViewId="0">
      <selection activeCell="Q8" sqref="Q8"/>
    </sheetView>
  </sheetViews>
  <sheetFormatPr defaultColWidth="13.28515625" defaultRowHeight="16.5" customHeight="1" x14ac:dyDescent="0.25"/>
  <cols>
    <col min="1" max="1" width="13.28515625" style="2"/>
    <col min="2" max="2" width="22.85546875" style="2" customWidth="1"/>
    <col min="3" max="3" width="15.85546875" style="2" customWidth="1"/>
    <col min="4" max="4" width="17.7109375" style="16" customWidth="1"/>
    <col min="5" max="5" width="19.85546875" style="16" customWidth="1"/>
    <col min="6" max="6" width="13" style="16" customWidth="1"/>
    <col min="7" max="7" width="16" style="16" customWidth="1"/>
    <col min="8" max="8" width="17.7109375" style="17" customWidth="1"/>
    <col min="9" max="9" width="19.28515625" style="17" customWidth="1"/>
    <col min="10" max="10" width="25.5703125" style="17" customWidth="1"/>
    <col min="11" max="11" width="17" style="17" customWidth="1"/>
    <col min="12" max="12" width="17" style="18" customWidth="1"/>
    <col min="13" max="13" width="17" style="5" customWidth="1"/>
    <col min="15" max="18" width="16.85546875" customWidth="1"/>
  </cols>
  <sheetData>
    <row r="1" spans="1:20" ht="16.5" customHeight="1" thickBot="1" x14ac:dyDescent="0.3">
      <c r="A1" s="6" t="s">
        <v>0</v>
      </c>
      <c r="B1" s="7" t="s">
        <v>104</v>
      </c>
      <c r="C1" s="7" t="s">
        <v>1</v>
      </c>
      <c r="D1" s="8" t="s">
        <v>105</v>
      </c>
      <c r="E1" s="8" t="s">
        <v>106</v>
      </c>
      <c r="F1" s="8" t="s">
        <v>2</v>
      </c>
      <c r="G1" s="8" t="s">
        <v>107</v>
      </c>
      <c r="H1" s="9" t="s">
        <v>108</v>
      </c>
      <c r="I1" s="9" t="s">
        <v>109</v>
      </c>
      <c r="J1" s="9" t="s">
        <v>115</v>
      </c>
      <c r="K1" s="9" t="s">
        <v>110</v>
      </c>
      <c r="L1" s="10" t="s">
        <v>3</v>
      </c>
      <c r="M1" s="19" t="s">
        <v>4</v>
      </c>
      <c r="O1" s="24" t="s">
        <v>119</v>
      </c>
      <c r="P1" s="24" t="s">
        <v>120</v>
      </c>
      <c r="Q1" s="24" t="s">
        <v>110</v>
      </c>
      <c r="R1" s="24" t="s">
        <v>121</v>
      </c>
      <c r="S1" s="24" t="s">
        <v>8</v>
      </c>
      <c r="T1" s="24" t="s">
        <v>81</v>
      </c>
    </row>
    <row r="2" spans="1:20" ht="16.5" customHeight="1" x14ac:dyDescent="0.25">
      <c r="A2" s="22" t="s">
        <v>43</v>
      </c>
      <c r="B2" s="22" t="s">
        <v>44</v>
      </c>
      <c r="C2" s="22" t="s">
        <v>16</v>
      </c>
      <c r="D2" s="11">
        <v>25</v>
      </c>
      <c r="E2" s="11">
        <v>12</v>
      </c>
      <c r="F2" s="11">
        <v>9</v>
      </c>
      <c r="G2" s="11">
        <f t="shared" ref="G2:G47" si="0">(D2+E2)-F2</f>
        <v>28</v>
      </c>
      <c r="H2" s="12">
        <v>200</v>
      </c>
      <c r="I2" s="12">
        <f t="shared" ref="I2:I47" si="1">G2*H2</f>
        <v>5600</v>
      </c>
      <c r="J2" s="12">
        <f>Table1[[#This Row],[Hand-In-Stock]]*Table1[[#This Row],[Cost Price /Unit]]</f>
        <v>5600</v>
      </c>
      <c r="K2" s="12">
        <f t="shared" ref="K2:K47" si="2">F2*H2</f>
        <v>1800</v>
      </c>
      <c r="L2" s="13">
        <f t="shared" ref="L2:L47" si="3">F2/(D2+E2)</f>
        <v>0.24324324324324326</v>
      </c>
      <c r="M2" s="4" t="str" cm="1">
        <f t="array" ref="M2">_xlfn.IFS(L2&lt;25%, "Dead Stock", L2&lt;75%, "Average", L2&lt;=100%, "Best Seller")</f>
        <v>Dead Stock</v>
      </c>
      <c r="O2" s="23">
        <f>SUM(Table1[Hand-In-Stock])</f>
        <v>949</v>
      </c>
      <c r="P2" s="25">
        <f>SUM(Table1[[ Units Sold]])</f>
        <v>1413</v>
      </c>
      <c r="Q2" s="3">
        <f>SUM(Table1[Revenue])</f>
        <v>263630</v>
      </c>
      <c r="R2" s="3">
        <f>SUM(Table1[Hand-In Stock Value])</f>
        <v>160669</v>
      </c>
      <c r="S2" s="23">
        <f>COUNTA(M6:M13)</f>
        <v>8</v>
      </c>
      <c r="T2" s="23">
        <f>COUNTA(M2:M5)</f>
        <v>4</v>
      </c>
    </row>
    <row r="3" spans="1:20" ht="16.5" customHeight="1" x14ac:dyDescent="0.25">
      <c r="A3" s="1" t="s">
        <v>73</v>
      </c>
      <c r="B3" s="1" t="s">
        <v>74</v>
      </c>
      <c r="C3" s="1" t="s">
        <v>16</v>
      </c>
      <c r="D3" s="14">
        <v>20</v>
      </c>
      <c r="E3" s="14">
        <v>8</v>
      </c>
      <c r="F3" s="14">
        <v>5</v>
      </c>
      <c r="G3" s="11">
        <f t="shared" si="0"/>
        <v>23</v>
      </c>
      <c r="H3" s="15">
        <v>150</v>
      </c>
      <c r="I3" s="12">
        <f t="shared" si="1"/>
        <v>3450</v>
      </c>
      <c r="J3" s="12">
        <f>Table1[[#This Row],[Hand-In-Stock]]*Table1[[#This Row],[Cost Price /Unit]]</f>
        <v>3450</v>
      </c>
      <c r="K3" s="12">
        <f t="shared" si="2"/>
        <v>750</v>
      </c>
      <c r="L3" s="13">
        <f t="shared" si="3"/>
        <v>0.17857142857142858</v>
      </c>
      <c r="M3" s="4" t="str" cm="1">
        <f t="array" ref="M3">_xlfn.IFS(L3&lt;25%, "Dead Stock", L3&lt;75%, "Average", L3&lt;=100%, "Best Seller")</f>
        <v>Dead Stock</v>
      </c>
    </row>
    <row r="4" spans="1:20" ht="16.5" customHeight="1" x14ac:dyDescent="0.25">
      <c r="A4" s="1" t="s">
        <v>88</v>
      </c>
      <c r="B4" s="1" t="s">
        <v>89</v>
      </c>
      <c r="C4" s="1" t="s">
        <v>16</v>
      </c>
      <c r="D4" s="14">
        <v>15</v>
      </c>
      <c r="E4" s="14">
        <v>6</v>
      </c>
      <c r="F4" s="14">
        <v>5</v>
      </c>
      <c r="G4" s="11">
        <f t="shared" si="0"/>
        <v>16</v>
      </c>
      <c r="H4" s="15">
        <v>50</v>
      </c>
      <c r="I4" s="12">
        <f t="shared" si="1"/>
        <v>800</v>
      </c>
      <c r="J4" s="12">
        <f>Table1[[#This Row],[Hand-In-Stock]]*Table1[[#This Row],[Cost Price /Unit]]</f>
        <v>800</v>
      </c>
      <c r="K4" s="12">
        <f t="shared" si="2"/>
        <v>250</v>
      </c>
      <c r="L4" s="13">
        <f t="shared" si="3"/>
        <v>0.23809523809523808</v>
      </c>
      <c r="M4" s="4" t="str" cm="1">
        <f t="array" ref="M4">_xlfn.IFS(L4&lt;25%, "Dead Stock", L4&lt;75%, "Average", L4&lt;=100%, "Best Seller")</f>
        <v>Dead Stock</v>
      </c>
    </row>
    <row r="5" spans="1:20" ht="16.5" customHeight="1" x14ac:dyDescent="0.25">
      <c r="A5" s="1" t="s">
        <v>96</v>
      </c>
      <c r="B5" s="1" t="s">
        <v>97</v>
      </c>
      <c r="C5" s="1" t="s">
        <v>16</v>
      </c>
      <c r="D5" s="14">
        <v>25</v>
      </c>
      <c r="E5" s="14">
        <v>10</v>
      </c>
      <c r="F5" s="14">
        <v>8</v>
      </c>
      <c r="G5" s="11">
        <f t="shared" si="0"/>
        <v>27</v>
      </c>
      <c r="H5" s="15">
        <v>30</v>
      </c>
      <c r="I5" s="12">
        <f t="shared" si="1"/>
        <v>810</v>
      </c>
      <c r="J5" s="12">
        <f>Table1[[#This Row],[Hand-In-Stock]]*Table1[[#This Row],[Cost Price /Unit]]</f>
        <v>810</v>
      </c>
      <c r="K5" s="12">
        <f t="shared" si="2"/>
        <v>240</v>
      </c>
      <c r="L5" s="13">
        <f t="shared" si="3"/>
        <v>0.22857142857142856</v>
      </c>
      <c r="M5" s="4" t="str" cm="1">
        <f t="array" ref="M5">_xlfn.IFS(L5&lt;25%, "Dead Stock", L5&lt;75%, "Average", L5&lt;=100%, "Best Seller")</f>
        <v>Dead Stock</v>
      </c>
    </row>
    <row r="6" spans="1:20" ht="16.5" customHeight="1" x14ac:dyDescent="0.25">
      <c r="A6" s="1" t="s">
        <v>5</v>
      </c>
      <c r="B6" s="1" t="s">
        <v>6</v>
      </c>
      <c r="C6" s="1" t="s">
        <v>7</v>
      </c>
      <c r="D6" s="14">
        <v>70</v>
      </c>
      <c r="E6" s="14">
        <v>30</v>
      </c>
      <c r="F6" s="14">
        <v>80</v>
      </c>
      <c r="G6" s="11">
        <f t="shared" si="0"/>
        <v>20</v>
      </c>
      <c r="H6" s="15">
        <v>900</v>
      </c>
      <c r="I6" s="12">
        <f t="shared" si="1"/>
        <v>18000</v>
      </c>
      <c r="J6" s="12">
        <f>Table1[[#This Row],[Hand-In-Stock]]*Table1[[#This Row],[Cost Price /Unit]]</f>
        <v>18000</v>
      </c>
      <c r="K6" s="12">
        <f t="shared" si="2"/>
        <v>72000</v>
      </c>
      <c r="L6" s="13">
        <f t="shared" si="3"/>
        <v>0.8</v>
      </c>
      <c r="M6" s="4" t="str" cm="1">
        <f t="array" ref="M6">_xlfn.IFS(L6&lt;25%, "Dead Stock", L6&lt;75%, "Average", L6&lt;=100%, "Best Seller")</f>
        <v>Best Seller</v>
      </c>
    </row>
    <row r="7" spans="1:20" ht="16.5" customHeight="1" x14ac:dyDescent="0.25">
      <c r="A7" s="1" t="s">
        <v>26</v>
      </c>
      <c r="B7" s="1" t="s">
        <v>27</v>
      </c>
      <c r="C7" s="1" t="s">
        <v>25</v>
      </c>
      <c r="D7" s="14">
        <v>40</v>
      </c>
      <c r="E7" s="14">
        <v>18</v>
      </c>
      <c r="F7" s="14">
        <v>45</v>
      </c>
      <c r="G7" s="11">
        <f t="shared" si="0"/>
        <v>13</v>
      </c>
      <c r="H7" s="15">
        <v>600</v>
      </c>
      <c r="I7" s="12">
        <f t="shared" si="1"/>
        <v>7800</v>
      </c>
      <c r="J7" s="12">
        <f>Table1[[#This Row],[Hand-In-Stock]]*Table1[[#This Row],[Cost Price /Unit]]</f>
        <v>7800</v>
      </c>
      <c r="K7" s="12">
        <f t="shared" si="2"/>
        <v>27000</v>
      </c>
      <c r="L7" s="13">
        <f t="shared" si="3"/>
        <v>0.77586206896551724</v>
      </c>
      <c r="M7" s="4" t="str" cm="1">
        <f t="array" ref="M7">_xlfn.IFS(L7&lt;25%, "Dead Stock", L7&lt;75%, "Average", L7&lt;=100%, "Best Seller")</f>
        <v>Best Seller</v>
      </c>
    </row>
    <row r="8" spans="1:20" ht="16.5" customHeight="1" x14ac:dyDescent="0.25">
      <c r="A8" s="1" t="s">
        <v>23</v>
      </c>
      <c r="B8" s="1" t="s">
        <v>24</v>
      </c>
      <c r="C8" s="1" t="s">
        <v>25</v>
      </c>
      <c r="D8" s="14">
        <v>30</v>
      </c>
      <c r="E8" s="14">
        <v>15</v>
      </c>
      <c r="F8" s="14">
        <v>35</v>
      </c>
      <c r="G8" s="11">
        <f t="shared" si="0"/>
        <v>10</v>
      </c>
      <c r="H8" s="15">
        <v>350</v>
      </c>
      <c r="I8" s="12">
        <f t="shared" si="1"/>
        <v>3500</v>
      </c>
      <c r="J8" s="12">
        <f>Table1[[#This Row],[Hand-In-Stock]]*Table1[[#This Row],[Cost Price /Unit]]</f>
        <v>3500</v>
      </c>
      <c r="K8" s="12">
        <f t="shared" si="2"/>
        <v>12250</v>
      </c>
      <c r="L8" s="13">
        <f t="shared" si="3"/>
        <v>0.77777777777777779</v>
      </c>
      <c r="M8" s="4" t="str" cm="1">
        <f t="array" ref="M8">_xlfn.IFS(L8&lt;25%, "Dead Stock", L8&lt;75%, "Average", L8&lt;=100%, "Best Seller")</f>
        <v>Best Seller</v>
      </c>
    </row>
    <row r="9" spans="1:20" ht="16.5" customHeight="1" x14ac:dyDescent="0.25">
      <c r="A9" s="1" t="s">
        <v>32</v>
      </c>
      <c r="B9" s="1" t="s">
        <v>33</v>
      </c>
      <c r="C9" s="1" t="s">
        <v>25</v>
      </c>
      <c r="D9" s="14">
        <v>50</v>
      </c>
      <c r="E9" s="14">
        <v>22</v>
      </c>
      <c r="F9" s="14">
        <v>55</v>
      </c>
      <c r="G9" s="11">
        <f t="shared" si="0"/>
        <v>17</v>
      </c>
      <c r="H9" s="15">
        <v>80</v>
      </c>
      <c r="I9" s="12">
        <f t="shared" si="1"/>
        <v>1360</v>
      </c>
      <c r="J9" s="12">
        <f>Table1[[#This Row],[Hand-In-Stock]]*Table1[[#This Row],[Cost Price /Unit]]</f>
        <v>1360</v>
      </c>
      <c r="K9" s="12">
        <f t="shared" si="2"/>
        <v>4400</v>
      </c>
      <c r="L9" s="13">
        <f t="shared" si="3"/>
        <v>0.76388888888888884</v>
      </c>
      <c r="M9" s="4" t="str" cm="1">
        <f t="array" ref="M9">_xlfn.IFS(L9&lt;25%, "Dead Stock", L9&lt;75%, "Average", L9&lt;=100%, "Best Seller")</f>
        <v>Best Seller</v>
      </c>
    </row>
    <row r="10" spans="1:20" ht="16.5" customHeight="1" x14ac:dyDescent="0.25">
      <c r="A10" s="1" t="s">
        <v>28</v>
      </c>
      <c r="B10" s="1" t="s">
        <v>29</v>
      </c>
      <c r="C10" s="1" t="s">
        <v>25</v>
      </c>
      <c r="D10" s="14">
        <v>40</v>
      </c>
      <c r="E10" s="14">
        <v>18</v>
      </c>
      <c r="F10" s="14">
        <v>47</v>
      </c>
      <c r="G10" s="11">
        <f t="shared" si="0"/>
        <v>11</v>
      </c>
      <c r="H10" s="15">
        <v>80</v>
      </c>
      <c r="I10" s="12">
        <f t="shared" si="1"/>
        <v>880</v>
      </c>
      <c r="J10" s="12">
        <f>Table1[[#This Row],[Hand-In-Stock]]*Table1[[#This Row],[Cost Price /Unit]]</f>
        <v>880</v>
      </c>
      <c r="K10" s="12">
        <f t="shared" si="2"/>
        <v>3760</v>
      </c>
      <c r="L10" s="13">
        <f t="shared" si="3"/>
        <v>0.81034482758620685</v>
      </c>
      <c r="M10" s="4" t="str" cm="1">
        <f t="array" ref="M10">_xlfn.IFS(L10&lt;25%, "Dead Stock", L10&lt;75%, "Average", L10&lt;=100%, "Best Seller")</f>
        <v>Best Seller</v>
      </c>
    </row>
    <row r="11" spans="1:20" ht="16.5" customHeight="1" x14ac:dyDescent="0.25">
      <c r="A11" s="1" t="s">
        <v>41</v>
      </c>
      <c r="B11" s="1" t="s">
        <v>42</v>
      </c>
      <c r="C11" s="1" t="s">
        <v>11</v>
      </c>
      <c r="D11" s="14">
        <v>35</v>
      </c>
      <c r="E11" s="14">
        <v>15</v>
      </c>
      <c r="F11" s="14">
        <v>38</v>
      </c>
      <c r="G11" s="11">
        <f t="shared" si="0"/>
        <v>12</v>
      </c>
      <c r="H11" s="15">
        <v>80</v>
      </c>
      <c r="I11" s="12">
        <f t="shared" si="1"/>
        <v>960</v>
      </c>
      <c r="J11" s="12">
        <f>Table1[[#This Row],[Hand-In-Stock]]*Table1[[#This Row],[Cost Price /Unit]]</f>
        <v>960</v>
      </c>
      <c r="K11" s="12">
        <f t="shared" si="2"/>
        <v>3040</v>
      </c>
      <c r="L11" s="13">
        <f t="shared" si="3"/>
        <v>0.76</v>
      </c>
      <c r="M11" s="4" t="str" cm="1">
        <f t="array" ref="M11">_xlfn.IFS(L11&lt;25%, "Dead Stock", L11&lt;75%, "Average", L11&lt;=100%, "Best Seller")</f>
        <v>Best Seller</v>
      </c>
    </row>
    <row r="12" spans="1:20" ht="16.5" customHeight="1" x14ac:dyDescent="0.25">
      <c r="A12" s="1" t="s">
        <v>49</v>
      </c>
      <c r="B12" s="1" t="s">
        <v>50</v>
      </c>
      <c r="C12" s="1" t="s">
        <v>16</v>
      </c>
      <c r="D12" s="14">
        <v>30</v>
      </c>
      <c r="E12" s="14">
        <v>15</v>
      </c>
      <c r="F12" s="14">
        <v>36</v>
      </c>
      <c r="G12" s="11">
        <f t="shared" si="0"/>
        <v>9</v>
      </c>
      <c r="H12" s="15">
        <v>20</v>
      </c>
      <c r="I12" s="12">
        <f t="shared" si="1"/>
        <v>180</v>
      </c>
      <c r="J12" s="12">
        <f>Table1[[#This Row],[Hand-In-Stock]]*Table1[[#This Row],[Cost Price /Unit]]</f>
        <v>180</v>
      </c>
      <c r="K12" s="12">
        <f t="shared" si="2"/>
        <v>720</v>
      </c>
      <c r="L12" s="13">
        <f t="shared" si="3"/>
        <v>0.8</v>
      </c>
      <c r="M12" s="4" t="str" cm="1">
        <f t="array" ref="M12">_xlfn.IFS(L12&lt;25%, "Dead Stock", L12&lt;75%, "Average", L12&lt;=100%, "Best Seller")</f>
        <v>Best Seller</v>
      </c>
    </row>
    <row r="13" spans="1:20" ht="16.5" customHeight="1" x14ac:dyDescent="0.25">
      <c r="A13" s="1" t="s">
        <v>30</v>
      </c>
      <c r="B13" s="1" t="s">
        <v>31</v>
      </c>
      <c r="C13" s="1" t="s">
        <v>16</v>
      </c>
      <c r="D13" s="14">
        <v>40</v>
      </c>
      <c r="E13" s="14">
        <v>18</v>
      </c>
      <c r="F13" s="14">
        <v>45</v>
      </c>
      <c r="G13" s="11">
        <f t="shared" si="0"/>
        <v>13</v>
      </c>
      <c r="H13" s="15">
        <v>8</v>
      </c>
      <c r="I13" s="12">
        <f t="shared" si="1"/>
        <v>104</v>
      </c>
      <c r="J13" s="12">
        <f>Table1[[#This Row],[Hand-In-Stock]]*Table1[[#This Row],[Cost Price /Unit]]</f>
        <v>104</v>
      </c>
      <c r="K13" s="12">
        <f t="shared" si="2"/>
        <v>360</v>
      </c>
      <c r="L13" s="13">
        <f t="shared" si="3"/>
        <v>0.77586206896551724</v>
      </c>
      <c r="M13" s="4" t="str" cm="1">
        <f t="array" ref="M13">_xlfn.IFS(L13&lt;25%, "Dead Stock", L13&lt;75%, "Average", L13&lt;=100%, "Best Seller")</f>
        <v>Best Seller</v>
      </c>
    </row>
    <row r="14" spans="1:20" ht="16.5" customHeight="1" x14ac:dyDescent="0.25">
      <c r="A14" s="1" t="s">
        <v>34</v>
      </c>
      <c r="B14" s="1" t="s">
        <v>35</v>
      </c>
      <c r="C14" s="1" t="s">
        <v>25</v>
      </c>
      <c r="D14" s="14">
        <v>50</v>
      </c>
      <c r="E14" s="14">
        <v>20</v>
      </c>
      <c r="F14" s="14">
        <v>40</v>
      </c>
      <c r="G14" s="11">
        <f t="shared" si="0"/>
        <v>30</v>
      </c>
      <c r="H14" s="15">
        <v>1200</v>
      </c>
      <c r="I14" s="12">
        <f t="shared" si="1"/>
        <v>36000</v>
      </c>
      <c r="J14" s="12">
        <f>Table1[[#This Row],[Hand-In-Stock]]*Table1[[#This Row],[Cost Price /Unit]]</f>
        <v>36000</v>
      </c>
      <c r="K14" s="12">
        <f t="shared" si="2"/>
        <v>48000</v>
      </c>
      <c r="L14" s="13">
        <f t="shared" si="3"/>
        <v>0.5714285714285714</v>
      </c>
      <c r="M14" s="4" t="str" cm="1">
        <f t="array" ref="M14">_xlfn.IFS(L14&lt;25%, "Dead Stock", L14&lt;75%, "Average", L14&lt;=100%, "Best Seller")</f>
        <v>Average</v>
      </c>
    </row>
    <row r="15" spans="1:20" ht="16.5" customHeight="1" x14ac:dyDescent="0.25">
      <c r="A15" s="1" t="s">
        <v>55</v>
      </c>
      <c r="B15" s="1" t="s">
        <v>56</v>
      </c>
      <c r="C15" s="1" t="s">
        <v>7</v>
      </c>
      <c r="D15" s="14">
        <v>45</v>
      </c>
      <c r="E15" s="14">
        <v>18</v>
      </c>
      <c r="F15" s="14">
        <v>32</v>
      </c>
      <c r="G15" s="11">
        <f t="shared" si="0"/>
        <v>31</v>
      </c>
      <c r="H15" s="15">
        <v>700</v>
      </c>
      <c r="I15" s="12">
        <f t="shared" si="1"/>
        <v>21700</v>
      </c>
      <c r="J15" s="12">
        <f>Table1[[#This Row],[Hand-In-Stock]]*Table1[[#This Row],[Cost Price /Unit]]</f>
        <v>21700</v>
      </c>
      <c r="K15" s="12">
        <f t="shared" si="2"/>
        <v>22400</v>
      </c>
      <c r="L15" s="13">
        <f t="shared" si="3"/>
        <v>0.50793650793650791</v>
      </c>
      <c r="M15" s="4" t="str" cm="1">
        <f t="array" ref="M15">_xlfn.IFS(L15&lt;25%, "Dead Stock", L15&lt;75%, "Average", L15&lt;=100%, "Best Seller")</f>
        <v>Average</v>
      </c>
    </row>
    <row r="16" spans="1:20" ht="16.5" customHeight="1" x14ac:dyDescent="0.25">
      <c r="A16" s="1" t="s">
        <v>90</v>
      </c>
      <c r="B16" s="1" t="s">
        <v>91</v>
      </c>
      <c r="C16" s="1" t="s">
        <v>11</v>
      </c>
      <c r="D16" s="14">
        <v>40</v>
      </c>
      <c r="E16" s="14">
        <v>15</v>
      </c>
      <c r="F16" s="14">
        <v>20</v>
      </c>
      <c r="G16" s="11">
        <f t="shared" si="0"/>
        <v>35</v>
      </c>
      <c r="H16" s="15">
        <v>500</v>
      </c>
      <c r="I16" s="12">
        <f t="shared" si="1"/>
        <v>17500</v>
      </c>
      <c r="J16" s="12">
        <f>Table1[[#This Row],[Hand-In-Stock]]*Table1[[#This Row],[Cost Price /Unit]]</f>
        <v>17500</v>
      </c>
      <c r="K16" s="12">
        <f t="shared" si="2"/>
        <v>10000</v>
      </c>
      <c r="L16" s="13">
        <f t="shared" si="3"/>
        <v>0.36363636363636365</v>
      </c>
      <c r="M16" s="4" t="str" cm="1">
        <f t="array" ref="M16">_xlfn.IFS(L16&lt;25%, "Dead Stock", L16&lt;75%, "Average", L16&lt;=100%, "Best Seller")</f>
        <v>Average</v>
      </c>
    </row>
    <row r="17" spans="1:13" ht="16.5" customHeight="1" x14ac:dyDescent="0.25">
      <c r="A17" s="1" t="s">
        <v>67</v>
      </c>
      <c r="B17" s="1" t="s">
        <v>68</v>
      </c>
      <c r="C17" s="1" t="s">
        <v>11</v>
      </c>
      <c r="D17" s="14">
        <v>25</v>
      </c>
      <c r="E17" s="14">
        <v>10</v>
      </c>
      <c r="F17" s="14">
        <v>20</v>
      </c>
      <c r="G17" s="11">
        <f t="shared" si="0"/>
        <v>15</v>
      </c>
      <c r="H17" s="15">
        <v>400</v>
      </c>
      <c r="I17" s="12">
        <f t="shared" si="1"/>
        <v>6000</v>
      </c>
      <c r="J17" s="12">
        <f>Table1[[#This Row],[Hand-In-Stock]]*Table1[[#This Row],[Cost Price /Unit]]</f>
        <v>6000</v>
      </c>
      <c r="K17" s="12">
        <f t="shared" si="2"/>
        <v>8000</v>
      </c>
      <c r="L17" s="13">
        <f t="shared" si="3"/>
        <v>0.5714285714285714</v>
      </c>
      <c r="M17" s="4" t="str" cm="1">
        <f t="array" ref="M17">_xlfn.IFS(L17&lt;25%, "Dead Stock", L17&lt;75%, "Average", L17&lt;=100%, "Best Seller")</f>
        <v>Average</v>
      </c>
    </row>
    <row r="18" spans="1:13" ht="16.5" customHeight="1" x14ac:dyDescent="0.25">
      <c r="A18" s="1" t="s">
        <v>19</v>
      </c>
      <c r="B18" s="1" t="s">
        <v>20</v>
      </c>
      <c r="C18" s="1" t="s">
        <v>11</v>
      </c>
      <c r="D18" s="14">
        <v>55</v>
      </c>
      <c r="E18" s="14">
        <v>22</v>
      </c>
      <c r="F18" s="14">
        <v>48</v>
      </c>
      <c r="G18" s="11">
        <f t="shared" si="0"/>
        <v>29</v>
      </c>
      <c r="H18" s="15">
        <v>150</v>
      </c>
      <c r="I18" s="12">
        <f t="shared" si="1"/>
        <v>4350</v>
      </c>
      <c r="J18" s="12">
        <f>Table1[[#This Row],[Hand-In-Stock]]*Table1[[#This Row],[Cost Price /Unit]]</f>
        <v>4350</v>
      </c>
      <c r="K18" s="12">
        <f t="shared" si="2"/>
        <v>7200</v>
      </c>
      <c r="L18" s="13">
        <f t="shared" si="3"/>
        <v>0.62337662337662336</v>
      </c>
      <c r="M18" s="4" t="str" cm="1">
        <f t="array" ref="M18">_xlfn.IFS(L18&lt;25%, "Dead Stock", L18&lt;75%, "Average", L18&lt;=100%, "Best Seller")</f>
        <v>Average</v>
      </c>
    </row>
    <row r="19" spans="1:13" ht="16.5" customHeight="1" x14ac:dyDescent="0.25">
      <c r="A19" s="1" t="s">
        <v>57</v>
      </c>
      <c r="B19" s="1" t="s">
        <v>58</v>
      </c>
      <c r="C19" s="1" t="s">
        <v>25</v>
      </c>
      <c r="D19" s="14">
        <v>45</v>
      </c>
      <c r="E19" s="14">
        <v>20</v>
      </c>
      <c r="F19" s="14">
        <v>40</v>
      </c>
      <c r="G19" s="11">
        <f t="shared" si="0"/>
        <v>25</v>
      </c>
      <c r="H19" s="15">
        <v>120</v>
      </c>
      <c r="I19" s="12">
        <f t="shared" si="1"/>
        <v>3000</v>
      </c>
      <c r="J19" s="12">
        <f>Table1[[#This Row],[Hand-In-Stock]]*Table1[[#This Row],[Cost Price /Unit]]</f>
        <v>3000</v>
      </c>
      <c r="K19" s="12">
        <f t="shared" si="2"/>
        <v>4800</v>
      </c>
      <c r="L19" s="13">
        <f t="shared" si="3"/>
        <v>0.61538461538461542</v>
      </c>
      <c r="M19" s="4" t="str" cm="1">
        <f t="array" ref="M19">_xlfn.IFS(L19&lt;25%, "Dead Stock", L19&lt;75%, "Average", L19&lt;=100%, "Best Seller")</f>
        <v>Average</v>
      </c>
    </row>
    <row r="20" spans="1:13" ht="16.5" customHeight="1" x14ac:dyDescent="0.25">
      <c r="A20" s="1" t="s">
        <v>45</v>
      </c>
      <c r="B20" s="1" t="s">
        <v>46</v>
      </c>
      <c r="C20" s="1" t="s">
        <v>25</v>
      </c>
      <c r="D20" s="14">
        <v>25</v>
      </c>
      <c r="E20" s="14">
        <v>12</v>
      </c>
      <c r="F20" s="14">
        <v>23</v>
      </c>
      <c r="G20" s="11">
        <f t="shared" si="0"/>
        <v>14</v>
      </c>
      <c r="H20" s="15">
        <v>200</v>
      </c>
      <c r="I20" s="12">
        <f t="shared" si="1"/>
        <v>2800</v>
      </c>
      <c r="J20" s="12">
        <f>Table1[[#This Row],[Hand-In-Stock]]*Table1[[#This Row],[Cost Price /Unit]]</f>
        <v>2800</v>
      </c>
      <c r="K20" s="12">
        <f t="shared" si="2"/>
        <v>4600</v>
      </c>
      <c r="L20" s="13">
        <f t="shared" si="3"/>
        <v>0.6216216216216216</v>
      </c>
      <c r="M20" s="4" t="str" cm="1">
        <f t="array" ref="M20">_xlfn.IFS(L20&lt;25%, "Dead Stock", L20&lt;75%, "Average", L20&lt;=100%, "Best Seller")</f>
        <v>Average</v>
      </c>
    </row>
    <row r="21" spans="1:13" ht="16.5" customHeight="1" x14ac:dyDescent="0.25">
      <c r="A21" s="1" t="s">
        <v>39</v>
      </c>
      <c r="B21" s="1" t="s">
        <v>40</v>
      </c>
      <c r="C21" s="1" t="s">
        <v>25</v>
      </c>
      <c r="D21" s="14">
        <v>60</v>
      </c>
      <c r="E21" s="14">
        <v>25</v>
      </c>
      <c r="F21" s="14">
        <v>60</v>
      </c>
      <c r="G21" s="11">
        <f t="shared" si="0"/>
        <v>25</v>
      </c>
      <c r="H21" s="15">
        <v>60</v>
      </c>
      <c r="I21" s="12">
        <f t="shared" si="1"/>
        <v>1500</v>
      </c>
      <c r="J21" s="12">
        <f>Table1[[#This Row],[Hand-In-Stock]]*Table1[[#This Row],[Cost Price /Unit]]</f>
        <v>1500</v>
      </c>
      <c r="K21" s="12">
        <f t="shared" si="2"/>
        <v>3600</v>
      </c>
      <c r="L21" s="13">
        <f t="shared" si="3"/>
        <v>0.70588235294117652</v>
      </c>
      <c r="M21" s="4" t="str" cm="1">
        <f t="array" ref="M21">_xlfn.IFS(L21&lt;25%, "Dead Stock", L21&lt;75%, "Average", L21&lt;=100%, "Best Seller")</f>
        <v>Average</v>
      </c>
    </row>
    <row r="22" spans="1:13" ht="16.5" customHeight="1" x14ac:dyDescent="0.25">
      <c r="A22" s="1" t="s">
        <v>9</v>
      </c>
      <c r="B22" s="1" t="s">
        <v>10</v>
      </c>
      <c r="C22" s="1" t="s">
        <v>11</v>
      </c>
      <c r="D22" s="14">
        <v>60</v>
      </c>
      <c r="E22" s="14">
        <v>25</v>
      </c>
      <c r="F22" s="14">
        <v>60</v>
      </c>
      <c r="G22" s="11">
        <f t="shared" si="0"/>
        <v>25</v>
      </c>
      <c r="H22" s="15">
        <v>50</v>
      </c>
      <c r="I22" s="12">
        <f t="shared" si="1"/>
        <v>1250</v>
      </c>
      <c r="J22" s="12">
        <f>Table1[[#This Row],[Hand-In-Stock]]*Table1[[#This Row],[Cost Price /Unit]]</f>
        <v>1250</v>
      </c>
      <c r="K22" s="12">
        <f t="shared" si="2"/>
        <v>3000</v>
      </c>
      <c r="L22" s="13">
        <f t="shared" si="3"/>
        <v>0.70588235294117652</v>
      </c>
      <c r="M22" s="4" t="str" cm="1">
        <f t="array" ref="M22">_xlfn.IFS(L22&lt;25%, "Dead Stock", L22&lt;75%, "Average", L22&lt;=100%, "Best Seller")</f>
        <v>Average</v>
      </c>
    </row>
    <row r="23" spans="1:13" ht="16.5" customHeight="1" x14ac:dyDescent="0.25">
      <c r="A23" s="1" t="s">
        <v>61</v>
      </c>
      <c r="B23" s="1" t="s">
        <v>62</v>
      </c>
      <c r="C23" s="1" t="s">
        <v>25</v>
      </c>
      <c r="D23" s="14">
        <v>35</v>
      </c>
      <c r="E23" s="14">
        <v>15</v>
      </c>
      <c r="F23" s="14">
        <v>30</v>
      </c>
      <c r="G23" s="11">
        <f t="shared" si="0"/>
        <v>20</v>
      </c>
      <c r="H23" s="15">
        <v>100</v>
      </c>
      <c r="I23" s="12">
        <f t="shared" si="1"/>
        <v>2000</v>
      </c>
      <c r="J23" s="12">
        <f>Table1[[#This Row],[Hand-In-Stock]]*Table1[[#This Row],[Cost Price /Unit]]</f>
        <v>2000</v>
      </c>
      <c r="K23" s="12">
        <f t="shared" si="2"/>
        <v>3000</v>
      </c>
      <c r="L23" s="13">
        <f t="shared" si="3"/>
        <v>0.6</v>
      </c>
      <c r="M23" s="4" t="str" cm="1">
        <f t="array" ref="M23">_xlfn.IFS(L23&lt;25%, "Dead Stock", L23&lt;75%, "Average", L23&lt;=100%, "Best Seller")</f>
        <v>Average</v>
      </c>
    </row>
    <row r="24" spans="1:13" ht="16.5" customHeight="1" x14ac:dyDescent="0.25">
      <c r="A24" s="1" t="s">
        <v>12</v>
      </c>
      <c r="B24" s="1" t="s">
        <v>13</v>
      </c>
      <c r="C24" s="1" t="s">
        <v>11</v>
      </c>
      <c r="D24" s="14">
        <v>40</v>
      </c>
      <c r="E24" s="14">
        <v>20</v>
      </c>
      <c r="F24" s="14">
        <v>40</v>
      </c>
      <c r="G24" s="11">
        <f t="shared" si="0"/>
        <v>20</v>
      </c>
      <c r="H24" s="15">
        <v>60</v>
      </c>
      <c r="I24" s="12">
        <f t="shared" si="1"/>
        <v>1200</v>
      </c>
      <c r="J24" s="12">
        <f>Table1[[#This Row],[Hand-In-Stock]]*Table1[[#This Row],[Cost Price /Unit]]</f>
        <v>1200</v>
      </c>
      <c r="K24" s="12">
        <f t="shared" si="2"/>
        <v>2400</v>
      </c>
      <c r="L24" s="13">
        <f t="shared" si="3"/>
        <v>0.66666666666666663</v>
      </c>
      <c r="M24" s="4" t="str" cm="1">
        <f t="array" ref="M24">_xlfn.IFS(L24&lt;25%, "Dead Stock", L24&lt;75%, "Average", L24&lt;=100%, "Best Seller")</f>
        <v>Average</v>
      </c>
    </row>
    <row r="25" spans="1:13" ht="16.5" customHeight="1" x14ac:dyDescent="0.25">
      <c r="A25" s="1" t="s">
        <v>98</v>
      </c>
      <c r="B25" s="1" t="s">
        <v>99</v>
      </c>
      <c r="C25" s="1" t="s">
        <v>16</v>
      </c>
      <c r="D25" s="14">
        <v>25</v>
      </c>
      <c r="E25" s="14">
        <v>10</v>
      </c>
      <c r="F25" s="14">
        <v>16</v>
      </c>
      <c r="G25" s="11">
        <f t="shared" si="0"/>
        <v>19</v>
      </c>
      <c r="H25" s="15">
        <v>150</v>
      </c>
      <c r="I25" s="12">
        <f t="shared" si="1"/>
        <v>2850</v>
      </c>
      <c r="J25" s="12">
        <f>Table1[[#This Row],[Hand-In-Stock]]*Table1[[#This Row],[Cost Price /Unit]]</f>
        <v>2850</v>
      </c>
      <c r="K25" s="12">
        <f t="shared" si="2"/>
        <v>2400</v>
      </c>
      <c r="L25" s="13">
        <f t="shared" si="3"/>
        <v>0.45714285714285713</v>
      </c>
      <c r="M25" s="4" t="str" cm="1">
        <f t="array" ref="M25">_xlfn.IFS(L25&lt;25%, "Dead Stock", L25&lt;75%, "Average", L25&lt;=100%, "Best Seller")</f>
        <v>Average</v>
      </c>
    </row>
    <row r="26" spans="1:13" ht="16.5" customHeight="1" x14ac:dyDescent="0.25">
      <c r="A26" s="1" t="s">
        <v>82</v>
      </c>
      <c r="B26" s="1" t="s">
        <v>83</v>
      </c>
      <c r="C26" s="1" t="s">
        <v>16</v>
      </c>
      <c r="D26" s="14">
        <v>15</v>
      </c>
      <c r="E26" s="14">
        <v>6</v>
      </c>
      <c r="F26" s="14">
        <v>10</v>
      </c>
      <c r="G26" s="11">
        <f t="shared" si="0"/>
        <v>11</v>
      </c>
      <c r="H26" s="15">
        <v>200</v>
      </c>
      <c r="I26" s="12">
        <f t="shared" si="1"/>
        <v>2200</v>
      </c>
      <c r="J26" s="12">
        <f>Table1[[#This Row],[Hand-In-Stock]]*Table1[[#This Row],[Cost Price /Unit]]</f>
        <v>2200</v>
      </c>
      <c r="K26" s="12">
        <f t="shared" si="2"/>
        <v>2000</v>
      </c>
      <c r="L26" s="13">
        <f t="shared" si="3"/>
        <v>0.47619047619047616</v>
      </c>
      <c r="M26" s="4" t="str" cm="1">
        <f t="array" ref="M26">_xlfn.IFS(L26&lt;25%, "Dead Stock", L26&lt;75%, "Average", L26&lt;=100%, "Best Seller")</f>
        <v>Average</v>
      </c>
    </row>
    <row r="27" spans="1:13" ht="16.5" customHeight="1" x14ac:dyDescent="0.25">
      <c r="A27" s="1" t="s">
        <v>37</v>
      </c>
      <c r="B27" s="1" t="s">
        <v>38</v>
      </c>
      <c r="C27" s="1" t="s">
        <v>11</v>
      </c>
      <c r="D27" s="14">
        <v>30</v>
      </c>
      <c r="E27" s="14">
        <v>12</v>
      </c>
      <c r="F27" s="14">
        <v>24</v>
      </c>
      <c r="G27" s="11">
        <f t="shared" si="0"/>
        <v>18</v>
      </c>
      <c r="H27" s="15">
        <v>80</v>
      </c>
      <c r="I27" s="12">
        <f t="shared" si="1"/>
        <v>1440</v>
      </c>
      <c r="J27" s="12">
        <f>Table1[[#This Row],[Hand-In-Stock]]*Table1[[#This Row],[Cost Price /Unit]]</f>
        <v>1440</v>
      </c>
      <c r="K27" s="12">
        <f t="shared" si="2"/>
        <v>1920</v>
      </c>
      <c r="L27" s="13">
        <f t="shared" si="3"/>
        <v>0.5714285714285714</v>
      </c>
      <c r="M27" s="4" t="str" cm="1">
        <f t="array" ref="M27">_xlfn.IFS(L27&lt;25%, "Dead Stock", L27&lt;75%, "Average", L27&lt;=100%, "Best Seller")</f>
        <v>Average</v>
      </c>
    </row>
    <row r="28" spans="1:13" ht="16.5" customHeight="1" x14ac:dyDescent="0.25">
      <c r="A28" s="1" t="s">
        <v>75</v>
      </c>
      <c r="B28" s="1" t="s">
        <v>76</v>
      </c>
      <c r="C28" s="1" t="s">
        <v>11</v>
      </c>
      <c r="D28" s="14">
        <v>20</v>
      </c>
      <c r="E28" s="14">
        <v>8</v>
      </c>
      <c r="F28" s="14">
        <v>15</v>
      </c>
      <c r="G28" s="11">
        <f t="shared" si="0"/>
        <v>13</v>
      </c>
      <c r="H28" s="15">
        <v>120</v>
      </c>
      <c r="I28" s="12">
        <f t="shared" si="1"/>
        <v>1560</v>
      </c>
      <c r="J28" s="12">
        <f>Table1[[#This Row],[Hand-In-Stock]]*Table1[[#This Row],[Cost Price /Unit]]</f>
        <v>1560</v>
      </c>
      <c r="K28" s="12">
        <f t="shared" si="2"/>
        <v>1800</v>
      </c>
      <c r="L28" s="13">
        <f t="shared" si="3"/>
        <v>0.5357142857142857</v>
      </c>
      <c r="M28" s="4" t="str" cm="1">
        <f t="array" ref="M28">_xlfn.IFS(L28&lt;25%, "Dead Stock", L28&lt;75%, "Average", L28&lt;=100%, "Best Seller")</f>
        <v>Average</v>
      </c>
    </row>
    <row r="29" spans="1:13" ht="16.5" customHeight="1" x14ac:dyDescent="0.25">
      <c r="A29" s="1" t="s">
        <v>65</v>
      </c>
      <c r="B29" s="1" t="s">
        <v>66</v>
      </c>
      <c r="C29" s="1" t="s">
        <v>11</v>
      </c>
      <c r="D29" s="14">
        <v>25</v>
      </c>
      <c r="E29" s="14">
        <v>10</v>
      </c>
      <c r="F29" s="14">
        <v>16</v>
      </c>
      <c r="G29" s="11">
        <f t="shared" si="0"/>
        <v>19</v>
      </c>
      <c r="H29" s="15">
        <v>100</v>
      </c>
      <c r="I29" s="12">
        <f t="shared" si="1"/>
        <v>1900</v>
      </c>
      <c r="J29" s="12">
        <f>Table1[[#This Row],[Hand-In-Stock]]*Table1[[#This Row],[Cost Price /Unit]]</f>
        <v>1900</v>
      </c>
      <c r="K29" s="12">
        <f t="shared" si="2"/>
        <v>1600</v>
      </c>
      <c r="L29" s="13">
        <f t="shared" si="3"/>
        <v>0.45714285714285713</v>
      </c>
      <c r="M29" s="4" t="str" cm="1">
        <f t="array" ref="M29">_xlfn.IFS(L29&lt;25%, "Dead Stock", L29&lt;75%, "Average", L29&lt;=100%, "Best Seller")</f>
        <v>Average</v>
      </c>
    </row>
    <row r="30" spans="1:13" ht="16.5" customHeight="1" x14ac:dyDescent="0.25">
      <c r="A30" s="1" t="s">
        <v>102</v>
      </c>
      <c r="B30" s="1" t="s">
        <v>103</v>
      </c>
      <c r="C30" s="1" t="s">
        <v>11</v>
      </c>
      <c r="D30" s="14">
        <v>30</v>
      </c>
      <c r="E30" s="14">
        <v>10</v>
      </c>
      <c r="F30" s="14">
        <v>12</v>
      </c>
      <c r="G30" s="11">
        <f t="shared" si="0"/>
        <v>28</v>
      </c>
      <c r="H30" s="15">
        <v>100</v>
      </c>
      <c r="I30" s="12">
        <f t="shared" si="1"/>
        <v>2800</v>
      </c>
      <c r="J30" s="12">
        <f>Table1[[#This Row],[Hand-In-Stock]]*Table1[[#This Row],[Cost Price /Unit]]</f>
        <v>2800</v>
      </c>
      <c r="K30" s="12">
        <f t="shared" si="2"/>
        <v>1200</v>
      </c>
      <c r="L30" s="13">
        <f t="shared" si="3"/>
        <v>0.3</v>
      </c>
      <c r="M30" s="4" t="str" cm="1">
        <f t="array" ref="M30">_xlfn.IFS(L30&lt;25%, "Dead Stock", L30&lt;75%, "Average", L30&lt;=100%, "Best Seller")</f>
        <v>Average</v>
      </c>
    </row>
    <row r="31" spans="1:13" ht="16.5" customHeight="1" x14ac:dyDescent="0.25">
      <c r="A31" s="1" t="s">
        <v>59</v>
      </c>
      <c r="B31" s="1" t="s">
        <v>60</v>
      </c>
      <c r="C31" s="1" t="s">
        <v>16</v>
      </c>
      <c r="D31" s="14">
        <v>40</v>
      </c>
      <c r="E31" s="14">
        <v>18</v>
      </c>
      <c r="F31" s="14">
        <v>35</v>
      </c>
      <c r="G31" s="11">
        <f t="shared" si="0"/>
        <v>23</v>
      </c>
      <c r="H31" s="15">
        <v>30</v>
      </c>
      <c r="I31" s="12">
        <f t="shared" si="1"/>
        <v>690</v>
      </c>
      <c r="J31" s="12">
        <f>Table1[[#This Row],[Hand-In-Stock]]*Table1[[#This Row],[Cost Price /Unit]]</f>
        <v>690</v>
      </c>
      <c r="K31" s="12">
        <f t="shared" si="2"/>
        <v>1050</v>
      </c>
      <c r="L31" s="13">
        <f t="shared" si="3"/>
        <v>0.60344827586206895</v>
      </c>
      <c r="M31" s="4" t="str" cm="1">
        <f t="array" ref="M31">_xlfn.IFS(L31&lt;25%, "Dead Stock", L31&lt;75%, "Average", L31&lt;=100%, "Best Seller")</f>
        <v>Average</v>
      </c>
    </row>
    <row r="32" spans="1:13" ht="16.5" customHeight="1" x14ac:dyDescent="0.25">
      <c r="A32" s="1" t="s">
        <v>79</v>
      </c>
      <c r="B32" s="1" t="s">
        <v>80</v>
      </c>
      <c r="C32" s="1" t="s">
        <v>11</v>
      </c>
      <c r="D32" s="14">
        <v>35</v>
      </c>
      <c r="E32" s="14">
        <v>15</v>
      </c>
      <c r="F32" s="14">
        <v>25</v>
      </c>
      <c r="G32" s="11">
        <f t="shared" si="0"/>
        <v>25</v>
      </c>
      <c r="H32" s="15">
        <v>40</v>
      </c>
      <c r="I32" s="12">
        <f t="shared" si="1"/>
        <v>1000</v>
      </c>
      <c r="J32" s="12">
        <f>Table1[[#This Row],[Hand-In-Stock]]*Table1[[#This Row],[Cost Price /Unit]]</f>
        <v>1000</v>
      </c>
      <c r="K32" s="12">
        <f t="shared" si="2"/>
        <v>1000</v>
      </c>
      <c r="L32" s="13">
        <f t="shared" si="3"/>
        <v>0.5</v>
      </c>
      <c r="M32" s="4" t="str" cm="1">
        <f t="array" ref="M32">_xlfn.IFS(L32&lt;25%, "Dead Stock", L32&lt;75%, "Average", L32&lt;=100%, "Best Seller")</f>
        <v>Average</v>
      </c>
    </row>
    <row r="33" spans="1:13" ht="16.5" customHeight="1" x14ac:dyDescent="0.25">
      <c r="A33" s="1" t="s">
        <v>84</v>
      </c>
      <c r="B33" s="1" t="s">
        <v>85</v>
      </c>
      <c r="C33" s="1" t="s">
        <v>25</v>
      </c>
      <c r="D33" s="14">
        <v>30</v>
      </c>
      <c r="E33" s="14">
        <v>12</v>
      </c>
      <c r="F33" s="14">
        <v>20</v>
      </c>
      <c r="G33" s="11">
        <f t="shared" si="0"/>
        <v>22</v>
      </c>
      <c r="H33" s="15">
        <v>50</v>
      </c>
      <c r="I33" s="12">
        <f t="shared" si="1"/>
        <v>1100</v>
      </c>
      <c r="J33" s="12">
        <f>Table1[[#This Row],[Hand-In-Stock]]*Table1[[#This Row],[Cost Price /Unit]]</f>
        <v>1100</v>
      </c>
      <c r="K33" s="12">
        <f t="shared" si="2"/>
        <v>1000</v>
      </c>
      <c r="L33" s="13">
        <f t="shared" si="3"/>
        <v>0.47619047619047616</v>
      </c>
      <c r="M33" s="4" t="str" cm="1">
        <f t="array" ref="M33">_xlfn.IFS(L33&lt;25%, "Dead Stock", L33&lt;75%, "Average", L33&lt;=100%, "Best Seller")</f>
        <v>Average</v>
      </c>
    </row>
    <row r="34" spans="1:13" ht="16.5" customHeight="1" x14ac:dyDescent="0.25">
      <c r="A34" s="1" t="s">
        <v>17</v>
      </c>
      <c r="B34" s="1" t="s">
        <v>18</v>
      </c>
      <c r="C34" s="1" t="s">
        <v>16</v>
      </c>
      <c r="D34" s="14">
        <v>50</v>
      </c>
      <c r="E34" s="14">
        <v>25</v>
      </c>
      <c r="F34" s="14">
        <v>46</v>
      </c>
      <c r="G34" s="11">
        <f t="shared" si="0"/>
        <v>29</v>
      </c>
      <c r="H34" s="15">
        <v>20</v>
      </c>
      <c r="I34" s="12">
        <f t="shared" si="1"/>
        <v>580</v>
      </c>
      <c r="J34" s="12">
        <f>Table1[[#This Row],[Hand-In-Stock]]*Table1[[#This Row],[Cost Price /Unit]]</f>
        <v>580</v>
      </c>
      <c r="K34" s="12">
        <f t="shared" si="2"/>
        <v>920</v>
      </c>
      <c r="L34" s="13">
        <f t="shared" si="3"/>
        <v>0.61333333333333329</v>
      </c>
      <c r="M34" s="4" t="str" cm="1">
        <f t="array" ref="M34">_xlfn.IFS(L34&lt;25%, "Dead Stock", L34&lt;75%, "Average", L34&lt;=100%, "Best Seller")</f>
        <v>Average</v>
      </c>
    </row>
    <row r="35" spans="1:13" ht="16.5" customHeight="1" x14ac:dyDescent="0.25">
      <c r="A35" s="1" t="s">
        <v>21</v>
      </c>
      <c r="B35" s="1" t="s">
        <v>22</v>
      </c>
      <c r="C35" s="1" t="s">
        <v>16</v>
      </c>
      <c r="D35" s="14">
        <v>30</v>
      </c>
      <c r="E35" s="14">
        <v>15</v>
      </c>
      <c r="F35" s="14">
        <v>29</v>
      </c>
      <c r="G35" s="11">
        <f t="shared" si="0"/>
        <v>16</v>
      </c>
      <c r="H35" s="15">
        <v>30</v>
      </c>
      <c r="I35" s="12">
        <f t="shared" si="1"/>
        <v>480</v>
      </c>
      <c r="J35" s="12">
        <f>Table1[[#This Row],[Hand-In-Stock]]*Table1[[#This Row],[Cost Price /Unit]]</f>
        <v>480</v>
      </c>
      <c r="K35" s="12">
        <f t="shared" si="2"/>
        <v>870</v>
      </c>
      <c r="L35" s="13">
        <f t="shared" si="3"/>
        <v>0.64444444444444449</v>
      </c>
      <c r="M35" s="4" t="str" cm="1">
        <f t="array" ref="M35">_xlfn.IFS(L35&lt;25%, "Dead Stock", L35&lt;75%, "Average", L35&lt;=100%, "Best Seller")</f>
        <v>Average</v>
      </c>
    </row>
    <row r="36" spans="1:13" ht="16.5" customHeight="1" x14ac:dyDescent="0.25">
      <c r="A36" s="1" t="s">
        <v>47</v>
      </c>
      <c r="B36" s="1" t="s">
        <v>48</v>
      </c>
      <c r="C36" s="1" t="s">
        <v>16</v>
      </c>
      <c r="D36" s="14">
        <v>40</v>
      </c>
      <c r="E36" s="14">
        <v>20</v>
      </c>
      <c r="F36" s="14">
        <v>32</v>
      </c>
      <c r="G36" s="11">
        <f t="shared" si="0"/>
        <v>28</v>
      </c>
      <c r="H36" s="15">
        <v>25</v>
      </c>
      <c r="I36" s="12">
        <f t="shared" si="1"/>
        <v>700</v>
      </c>
      <c r="J36" s="12">
        <f>Table1[[#This Row],[Hand-In-Stock]]*Table1[[#This Row],[Cost Price /Unit]]</f>
        <v>700</v>
      </c>
      <c r="K36" s="12">
        <f t="shared" si="2"/>
        <v>800</v>
      </c>
      <c r="L36" s="13">
        <f t="shared" si="3"/>
        <v>0.53333333333333333</v>
      </c>
      <c r="M36" s="4" t="str" cm="1">
        <f t="array" ref="M36">_xlfn.IFS(L36&lt;25%, "Dead Stock", L36&lt;75%, "Average", L36&lt;=100%, "Best Seller")</f>
        <v>Average</v>
      </c>
    </row>
    <row r="37" spans="1:13" ht="16.5" customHeight="1" x14ac:dyDescent="0.25">
      <c r="A37" s="1" t="s">
        <v>14</v>
      </c>
      <c r="B37" s="1" t="s">
        <v>15</v>
      </c>
      <c r="C37" s="1" t="s">
        <v>16</v>
      </c>
      <c r="D37" s="14">
        <v>60</v>
      </c>
      <c r="E37" s="14">
        <v>30</v>
      </c>
      <c r="F37" s="14">
        <v>60</v>
      </c>
      <c r="G37" s="11">
        <f t="shared" si="0"/>
        <v>30</v>
      </c>
      <c r="H37" s="15">
        <v>10</v>
      </c>
      <c r="I37" s="12">
        <f t="shared" si="1"/>
        <v>300</v>
      </c>
      <c r="J37" s="12">
        <f>Table1[[#This Row],[Hand-In-Stock]]*Table1[[#This Row],[Cost Price /Unit]]</f>
        <v>300</v>
      </c>
      <c r="K37" s="12">
        <f t="shared" si="2"/>
        <v>600</v>
      </c>
      <c r="L37" s="13">
        <f t="shared" si="3"/>
        <v>0.66666666666666663</v>
      </c>
      <c r="M37" s="4" t="str" cm="1">
        <f t="array" ref="M37">_xlfn.IFS(L37&lt;25%, "Dead Stock", L37&lt;75%, "Average", L37&lt;=100%, "Best Seller")</f>
        <v>Average</v>
      </c>
    </row>
    <row r="38" spans="1:13" ht="16.5" customHeight="1" x14ac:dyDescent="0.25">
      <c r="A38" s="1" t="s">
        <v>63</v>
      </c>
      <c r="B38" s="1" t="s">
        <v>64</v>
      </c>
      <c r="C38" s="1" t="s">
        <v>16</v>
      </c>
      <c r="D38" s="14">
        <v>30</v>
      </c>
      <c r="E38" s="14">
        <v>12</v>
      </c>
      <c r="F38" s="14">
        <v>25</v>
      </c>
      <c r="G38" s="11">
        <f t="shared" si="0"/>
        <v>17</v>
      </c>
      <c r="H38" s="15">
        <v>20</v>
      </c>
      <c r="I38" s="12">
        <f t="shared" si="1"/>
        <v>340</v>
      </c>
      <c r="J38" s="12">
        <f>Table1[[#This Row],[Hand-In-Stock]]*Table1[[#This Row],[Cost Price /Unit]]</f>
        <v>340</v>
      </c>
      <c r="K38" s="12">
        <f t="shared" si="2"/>
        <v>500</v>
      </c>
      <c r="L38" s="13">
        <f t="shared" si="3"/>
        <v>0.59523809523809523</v>
      </c>
      <c r="M38" s="4" t="str" cm="1">
        <f t="array" ref="M38">_xlfn.IFS(L38&lt;25%, "Dead Stock", L38&lt;75%, "Average", L38&lt;=100%, "Best Seller")</f>
        <v>Average</v>
      </c>
    </row>
    <row r="39" spans="1:13" ht="16.5" customHeight="1" x14ac:dyDescent="0.25">
      <c r="A39" s="1" t="s">
        <v>69</v>
      </c>
      <c r="B39" s="1" t="s">
        <v>70</v>
      </c>
      <c r="C39" s="1" t="s">
        <v>16</v>
      </c>
      <c r="D39" s="14">
        <v>50</v>
      </c>
      <c r="E39" s="14">
        <v>20</v>
      </c>
      <c r="F39" s="14">
        <v>44</v>
      </c>
      <c r="G39" s="11">
        <f t="shared" si="0"/>
        <v>26</v>
      </c>
      <c r="H39" s="15">
        <v>10</v>
      </c>
      <c r="I39" s="12">
        <f t="shared" si="1"/>
        <v>260</v>
      </c>
      <c r="J39" s="12">
        <f>Table1[[#This Row],[Hand-In-Stock]]*Table1[[#This Row],[Cost Price /Unit]]</f>
        <v>260</v>
      </c>
      <c r="K39" s="12">
        <f t="shared" si="2"/>
        <v>440</v>
      </c>
      <c r="L39" s="13">
        <f t="shared" si="3"/>
        <v>0.62857142857142856</v>
      </c>
      <c r="M39" s="4" t="str" cm="1">
        <f t="array" ref="M39">_xlfn.IFS(L39&lt;25%, "Dead Stock", L39&lt;75%, "Average", L39&lt;=100%, "Best Seller")</f>
        <v>Average</v>
      </c>
    </row>
    <row r="40" spans="1:13" ht="16.5" customHeight="1" x14ac:dyDescent="0.25">
      <c r="A40" s="1" t="s">
        <v>53</v>
      </c>
      <c r="B40" s="1" t="s">
        <v>54</v>
      </c>
      <c r="C40" s="1" t="s">
        <v>16</v>
      </c>
      <c r="D40" s="14">
        <v>50</v>
      </c>
      <c r="E40" s="14">
        <v>20</v>
      </c>
      <c r="F40" s="14">
        <v>45</v>
      </c>
      <c r="G40" s="11">
        <f t="shared" si="0"/>
        <v>25</v>
      </c>
      <c r="H40" s="15">
        <v>8</v>
      </c>
      <c r="I40" s="12">
        <f t="shared" si="1"/>
        <v>200</v>
      </c>
      <c r="J40" s="12">
        <f>Table1[[#This Row],[Hand-In-Stock]]*Table1[[#This Row],[Cost Price /Unit]]</f>
        <v>200</v>
      </c>
      <c r="K40" s="12">
        <f t="shared" si="2"/>
        <v>360</v>
      </c>
      <c r="L40" s="13">
        <f t="shared" si="3"/>
        <v>0.6428571428571429</v>
      </c>
      <c r="M40" s="4" t="str" cm="1">
        <f t="array" ref="M40">_xlfn.IFS(L40&lt;25%, "Dead Stock", L40&lt;75%, "Average", L40&lt;=100%, "Best Seller")</f>
        <v>Average</v>
      </c>
    </row>
    <row r="41" spans="1:13" ht="16.5" customHeight="1" x14ac:dyDescent="0.25">
      <c r="A41" s="1" t="s">
        <v>86</v>
      </c>
      <c r="B41" s="1" t="s">
        <v>87</v>
      </c>
      <c r="C41" s="1" t="s">
        <v>16</v>
      </c>
      <c r="D41" s="14">
        <v>30</v>
      </c>
      <c r="E41" s="14">
        <v>12</v>
      </c>
      <c r="F41" s="14">
        <v>20</v>
      </c>
      <c r="G41" s="11">
        <f t="shared" si="0"/>
        <v>22</v>
      </c>
      <c r="H41" s="15">
        <v>15</v>
      </c>
      <c r="I41" s="12">
        <f t="shared" si="1"/>
        <v>330</v>
      </c>
      <c r="J41" s="12">
        <f>Table1[[#This Row],[Hand-In-Stock]]*Table1[[#This Row],[Cost Price /Unit]]</f>
        <v>330</v>
      </c>
      <c r="K41" s="12">
        <f t="shared" si="2"/>
        <v>300</v>
      </c>
      <c r="L41" s="13">
        <f t="shared" si="3"/>
        <v>0.47619047619047616</v>
      </c>
      <c r="M41" s="4" t="str" cm="1">
        <f t="array" ref="M41">_xlfn.IFS(L41&lt;25%, "Dead Stock", L41&lt;75%, "Average", L41&lt;=100%, "Best Seller")</f>
        <v>Average</v>
      </c>
    </row>
    <row r="42" spans="1:13" ht="16.5" customHeight="1" x14ac:dyDescent="0.25">
      <c r="A42" s="1" t="s">
        <v>77</v>
      </c>
      <c r="B42" s="1" t="s">
        <v>78</v>
      </c>
      <c r="C42" s="1" t="s">
        <v>11</v>
      </c>
      <c r="D42" s="14">
        <v>20</v>
      </c>
      <c r="E42" s="14">
        <v>8</v>
      </c>
      <c r="F42" s="14">
        <v>15</v>
      </c>
      <c r="G42" s="11">
        <f t="shared" si="0"/>
        <v>13</v>
      </c>
      <c r="H42" s="15">
        <v>20</v>
      </c>
      <c r="I42" s="12">
        <f t="shared" si="1"/>
        <v>260</v>
      </c>
      <c r="J42" s="12">
        <f>Table1[[#This Row],[Hand-In-Stock]]*Table1[[#This Row],[Cost Price /Unit]]</f>
        <v>260</v>
      </c>
      <c r="K42" s="12">
        <f t="shared" si="2"/>
        <v>300</v>
      </c>
      <c r="L42" s="13">
        <f t="shared" si="3"/>
        <v>0.5357142857142857</v>
      </c>
      <c r="M42" s="4" t="str" cm="1">
        <f t="array" ref="M42">_xlfn.IFS(L42&lt;25%, "Dead Stock", L42&lt;75%, "Average", L42&lt;=100%, "Best Seller")</f>
        <v>Average</v>
      </c>
    </row>
    <row r="43" spans="1:13" ht="16.5" customHeight="1" x14ac:dyDescent="0.25">
      <c r="A43" s="1" t="s">
        <v>100</v>
      </c>
      <c r="B43" s="1" t="s">
        <v>101</v>
      </c>
      <c r="C43" s="1" t="s">
        <v>16</v>
      </c>
      <c r="D43" s="14">
        <v>35</v>
      </c>
      <c r="E43" s="14">
        <v>12</v>
      </c>
      <c r="F43" s="14">
        <v>20</v>
      </c>
      <c r="G43" s="11">
        <f t="shared" si="0"/>
        <v>27</v>
      </c>
      <c r="H43" s="15">
        <v>15</v>
      </c>
      <c r="I43" s="12">
        <f t="shared" si="1"/>
        <v>405</v>
      </c>
      <c r="J43" s="12">
        <f>Table1[[#This Row],[Hand-In-Stock]]*Table1[[#This Row],[Cost Price /Unit]]</f>
        <v>405</v>
      </c>
      <c r="K43" s="12">
        <f t="shared" si="2"/>
        <v>300</v>
      </c>
      <c r="L43" s="13">
        <f t="shared" si="3"/>
        <v>0.42553191489361702</v>
      </c>
      <c r="M43" s="4" t="str" cm="1">
        <f t="array" ref="M43">_xlfn.IFS(L43&lt;25%, "Dead Stock", L43&lt;75%, "Average", L43&lt;=100%, "Best Seller")</f>
        <v>Average</v>
      </c>
    </row>
    <row r="44" spans="1:13" ht="16.5" customHeight="1" x14ac:dyDescent="0.25">
      <c r="A44" s="1" t="s">
        <v>51</v>
      </c>
      <c r="B44" s="1" t="s">
        <v>52</v>
      </c>
      <c r="C44" s="1" t="s">
        <v>16</v>
      </c>
      <c r="D44" s="14">
        <v>20</v>
      </c>
      <c r="E44" s="14">
        <v>10</v>
      </c>
      <c r="F44" s="14">
        <v>20</v>
      </c>
      <c r="G44" s="11">
        <f t="shared" si="0"/>
        <v>10</v>
      </c>
      <c r="H44" s="15">
        <v>15</v>
      </c>
      <c r="I44" s="12">
        <f t="shared" si="1"/>
        <v>150</v>
      </c>
      <c r="J44" s="12">
        <f>Table1[[#This Row],[Hand-In-Stock]]*Table1[[#This Row],[Cost Price /Unit]]</f>
        <v>150</v>
      </c>
      <c r="K44" s="12">
        <f t="shared" si="2"/>
        <v>300</v>
      </c>
      <c r="L44" s="13">
        <f t="shared" si="3"/>
        <v>0.66666666666666663</v>
      </c>
      <c r="M44" s="4" t="str" cm="1">
        <f t="array" ref="M44">_xlfn.IFS(L44&lt;25%, "Dead Stock", L44&lt;75%, "Average", L44&lt;=100%, "Best Seller")</f>
        <v>Average</v>
      </c>
    </row>
    <row r="45" spans="1:13" ht="16.5" customHeight="1" x14ac:dyDescent="0.25">
      <c r="A45" s="1" t="s">
        <v>94</v>
      </c>
      <c r="B45" s="1" t="s">
        <v>95</v>
      </c>
      <c r="C45" s="1" t="s">
        <v>16</v>
      </c>
      <c r="D45" s="14">
        <v>25</v>
      </c>
      <c r="E45" s="14">
        <v>8</v>
      </c>
      <c r="F45" s="14">
        <v>17</v>
      </c>
      <c r="G45" s="11">
        <f t="shared" si="0"/>
        <v>16</v>
      </c>
      <c r="H45" s="15">
        <v>10</v>
      </c>
      <c r="I45" s="12">
        <f t="shared" si="1"/>
        <v>160</v>
      </c>
      <c r="J45" s="12">
        <f>Table1[[#This Row],[Hand-In-Stock]]*Table1[[#This Row],[Cost Price /Unit]]</f>
        <v>160</v>
      </c>
      <c r="K45" s="12">
        <f t="shared" si="2"/>
        <v>170</v>
      </c>
      <c r="L45" s="13">
        <f t="shared" si="3"/>
        <v>0.51515151515151514</v>
      </c>
      <c r="M45" s="4" t="str" cm="1">
        <f t="array" ref="M45">_xlfn.IFS(L45&lt;25%, "Dead Stock", L45&lt;75%, "Average", L45&lt;=100%, "Best Seller")</f>
        <v>Average</v>
      </c>
    </row>
    <row r="46" spans="1:13" ht="16.5" customHeight="1" x14ac:dyDescent="0.25">
      <c r="A46" s="1" t="s">
        <v>92</v>
      </c>
      <c r="B46" s="1" t="s">
        <v>93</v>
      </c>
      <c r="C46" s="1" t="s">
        <v>16</v>
      </c>
      <c r="D46" s="14">
        <v>40</v>
      </c>
      <c r="E46" s="14">
        <v>15</v>
      </c>
      <c r="F46" s="14">
        <v>26</v>
      </c>
      <c r="G46" s="11">
        <f t="shared" si="0"/>
        <v>29</v>
      </c>
      <c r="H46" s="15">
        <v>5</v>
      </c>
      <c r="I46" s="12">
        <f t="shared" si="1"/>
        <v>145</v>
      </c>
      <c r="J46" s="12">
        <f>Table1[[#This Row],[Hand-In-Stock]]*Table1[[#This Row],[Cost Price /Unit]]</f>
        <v>145</v>
      </c>
      <c r="K46" s="12">
        <f t="shared" si="2"/>
        <v>130</v>
      </c>
      <c r="L46" s="13">
        <f t="shared" si="3"/>
        <v>0.47272727272727272</v>
      </c>
      <c r="M46" s="4" t="str" cm="1">
        <f t="array" ref="M46">_xlfn.IFS(L46&lt;25%, "Dead Stock", L46&lt;75%, "Average", L46&lt;=100%, "Best Seller")</f>
        <v>Average</v>
      </c>
    </row>
    <row r="47" spans="1:13" ht="16.5" customHeight="1" x14ac:dyDescent="0.25">
      <c r="A47" s="1" t="s">
        <v>71</v>
      </c>
      <c r="B47" s="1" t="s">
        <v>72</v>
      </c>
      <c r="C47" s="1" t="s">
        <v>16</v>
      </c>
      <c r="D47" s="14">
        <v>25</v>
      </c>
      <c r="E47" s="14">
        <v>10</v>
      </c>
      <c r="F47" s="14">
        <v>20</v>
      </c>
      <c r="G47" s="11">
        <f t="shared" si="0"/>
        <v>15</v>
      </c>
      <c r="H47" s="15">
        <v>5</v>
      </c>
      <c r="I47" s="12">
        <f t="shared" si="1"/>
        <v>75</v>
      </c>
      <c r="J47" s="12">
        <f>Table1[[#This Row],[Hand-In-Stock]]*Table1[[#This Row],[Cost Price /Unit]]</f>
        <v>75</v>
      </c>
      <c r="K47" s="12">
        <f t="shared" si="2"/>
        <v>100</v>
      </c>
      <c r="L47" s="13">
        <f t="shared" si="3"/>
        <v>0.5714285714285714</v>
      </c>
      <c r="M47" s="4" t="str" cm="1">
        <f t="array" ref="M47">_xlfn.IFS(L47&lt;25%, "Dead Stock", L47&lt;75%, "Average", L47&lt;=100%, "Best Seller")</f>
        <v>Average</v>
      </c>
    </row>
  </sheetData>
  <conditionalFormatting sqref="M1:M1048576">
    <cfRule type="containsText" dxfId="2" priority="1" operator="containsText" text="Best Seller">
      <formula>NOT(ISERROR(SEARCH("Best Seller",M1)))</formula>
    </cfRule>
    <cfRule type="containsText" dxfId="1" priority="2" operator="containsText" text="Average">
      <formula>NOT(ISERROR(SEARCH("Average",M1)))</formula>
    </cfRule>
    <cfRule type="containsText" dxfId="0" priority="3" operator="containsText" text="Dead Stock">
      <formula>NOT(ISERROR(SEARCH("Dead Stock",M1)))</formula>
    </cfRule>
  </conditionalFormatting>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68C7E-84CE-4477-ACF0-73BA5407C3DF}">
  <dimension ref="B1:AA16"/>
  <sheetViews>
    <sheetView showGridLines="0" workbookViewId="0">
      <selection activeCell="B2" sqref="B2"/>
    </sheetView>
  </sheetViews>
  <sheetFormatPr defaultRowHeight="15" x14ac:dyDescent="0.25"/>
  <cols>
    <col min="2" max="2" width="18.28515625" bestFit="1" customWidth="1"/>
    <col min="3" max="3" width="17.42578125" bestFit="1" customWidth="1"/>
    <col min="11" max="11" width="18.28515625" bestFit="1" customWidth="1"/>
    <col min="12" max="12" width="9.42578125" bestFit="1" customWidth="1"/>
    <col min="18" max="18" width="11.28515625" bestFit="1" customWidth="1"/>
    <col min="19" max="19" width="16.42578125" bestFit="1" customWidth="1"/>
    <col min="25" max="25" width="11.28515625" bestFit="1" customWidth="1"/>
    <col min="26" max="26" width="19.7109375" bestFit="1" customWidth="1"/>
    <col min="27" max="27" width="9.42578125" bestFit="1" customWidth="1"/>
  </cols>
  <sheetData>
    <row r="1" spans="2:27" x14ac:dyDescent="0.25">
      <c r="B1" s="20" t="s">
        <v>4</v>
      </c>
      <c r="C1" t="s">
        <v>114</v>
      </c>
      <c r="K1" s="20" t="s">
        <v>104</v>
      </c>
      <c r="L1" t="s">
        <v>117</v>
      </c>
      <c r="R1" s="20" t="s">
        <v>4</v>
      </c>
      <c r="S1" t="s">
        <v>112</v>
      </c>
      <c r="Y1" s="20" t="s">
        <v>4</v>
      </c>
      <c r="Z1" t="s">
        <v>116</v>
      </c>
      <c r="AA1" t="s">
        <v>117</v>
      </c>
    </row>
    <row r="2" spans="2:27" x14ac:dyDescent="0.25">
      <c r="K2" s="21" t="s">
        <v>97</v>
      </c>
      <c r="L2" s="3">
        <v>240</v>
      </c>
      <c r="R2" s="21" t="s">
        <v>36</v>
      </c>
      <c r="S2">
        <v>34</v>
      </c>
      <c r="Y2" s="21" t="s">
        <v>36</v>
      </c>
      <c r="Z2" s="3">
        <v>117225</v>
      </c>
      <c r="AA2" s="3">
        <v>137060</v>
      </c>
    </row>
    <row r="3" spans="2:27" x14ac:dyDescent="0.25">
      <c r="B3" s="20" t="s">
        <v>104</v>
      </c>
      <c r="C3" t="s">
        <v>113</v>
      </c>
      <c r="K3" s="21" t="s">
        <v>89</v>
      </c>
      <c r="L3" s="3">
        <v>250</v>
      </c>
      <c r="R3" s="21" t="s">
        <v>8</v>
      </c>
      <c r="S3">
        <v>8</v>
      </c>
      <c r="Y3" s="21" t="s">
        <v>8</v>
      </c>
      <c r="Z3" s="3">
        <v>32784</v>
      </c>
      <c r="AA3" s="3">
        <v>123530</v>
      </c>
    </row>
    <row r="4" spans="2:27" x14ac:dyDescent="0.25">
      <c r="B4" s="21" t="s">
        <v>74</v>
      </c>
      <c r="C4" s="5">
        <v>0.17857142857142858</v>
      </c>
      <c r="K4" s="21" t="s">
        <v>31</v>
      </c>
      <c r="L4" s="3">
        <v>360</v>
      </c>
      <c r="R4" s="21" t="s">
        <v>81</v>
      </c>
      <c r="S4">
        <v>4</v>
      </c>
      <c r="Y4" s="21" t="s">
        <v>81</v>
      </c>
      <c r="Z4" s="3">
        <v>10660</v>
      </c>
      <c r="AA4" s="3">
        <v>3040</v>
      </c>
    </row>
    <row r="5" spans="2:27" x14ac:dyDescent="0.25">
      <c r="B5" s="21" t="s">
        <v>97</v>
      </c>
      <c r="C5" s="5">
        <v>0.22857142857142856</v>
      </c>
      <c r="K5" s="21" t="s">
        <v>50</v>
      </c>
      <c r="L5" s="3">
        <v>720</v>
      </c>
      <c r="R5" s="21" t="s">
        <v>111</v>
      </c>
      <c r="S5">
        <v>46</v>
      </c>
      <c r="Y5" s="21" t="s">
        <v>111</v>
      </c>
      <c r="Z5" s="3">
        <v>160669</v>
      </c>
      <c r="AA5" s="3">
        <v>263630</v>
      </c>
    </row>
    <row r="6" spans="2:27" x14ac:dyDescent="0.25">
      <c r="B6" s="21" t="s">
        <v>89</v>
      </c>
      <c r="C6" s="5">
        <v>0.23809523809523808</v>
      </c>
      <c r="K6" s="21" t="s">
        <v>74</v>
      </c>
      <c r="L6" s="3">
        <v>750</v>
      </c>
    </row>
    <row r="7" spans="2:27" x14ac:dyDescent="0.25">
      <c r="B7" s="21" t="s">
        <v>44</v>
      </c>
      <c r="C7" s="5">
        <v>0.24324324324324326</v>
      </c>
      <c r="K7" s="21" t="s">
        <v>44</v>
      </c>
      <c r="L7" s="3">
        <v>1800</v>
      </c>
    </row>
    <row r="8" spans="2:27" x14ac:dyDescent="0.25">
      <c r="B8" s="21" t="s">
        <v>42</v>
      </c>
      <c r="C8" s="5">
        <v>0.76</v>
      </c>
      <c r="K8" s="21" t="s">
        <v>42</v>
      </c>
      <c r="L8" s="3">
        <v>3040</v>
      </c>
    </row>
    <row r="9" spans="2:27" x14ac:dyDescent="0.25">
      <c r="B9" s="21" t="s">
        <v>33</v>
      </c>
      <c r="C9" s="5">
        <v>0.76388888888888884</v>
      </c>
      <c r="K9" s="21" t="s">
        <v>29</v>
      </c>
      <c r="L9" s="3">
        <v>3760</v>
      </c>
    </row>
    <row r="10" spans="2:27" x14ac:dyDescent="0.25">
      <c r="B10" s="21" t="s">
        <v>31</v>
      </c>
      <c r="C10" s="5">
        <v>0.77586206896551724</v>
      </c>
      <c r="K10" s="21" t="s">
        <v>33</v>
      </c>
      <c r="L10" s="3">
        <v>4400</v>
      </c>
    </row>
    <row r="11" spans="2:27" x14ac:dyDescent="0.25">
      <c r="B11" s="21" t="s">
        <v>27</v>
      </c>
      <c r="C11" s="5">
        <v>0.77586206896551724</v>
      </c>
      <c r="K11" s="21" t="s">
        <v>24</v>
      </c>
      <c r="L11" s="3">
        <v>12250</v>
      </c>
    </row>
    <row r="12" spans="2:27" x14ac:dyDescent="0.25">
      <c r="B12" s="21" t="s">
        <v>24</v>
      </c>
      <c r="C12" s="5">
        <v>0.77777777777777779</v>
      </c>
      <c r="K12" s="21" t="s">
        <v>27</v>
      </c>
      <c r="L12" s="3">
        <v>27000</v>
      </c>
    </row>
    <row r="13" spans="2:27" x14ac:dyDescent="0.25">
      <c r="B13" s="21" t="s">
        <v>6</v>
      </c>
      <c r="C13" s="5">
        <v>0.8</v>
      </c>
      <c r="K13" s="21" t="s">
        <v>6</v>
      </c>
      <c r="L13" s="3">
        <v>72000</v>
      </c>
    </row>
    <row r="14" spans="2:27" x14ac:dyDescent="0.25">
      <c r="B14" s="21" t="s">
        <v>50</v>
      </c>
      <c r="C14" s="5">
        <v>0.8</v>
      </c>
      <c r="K14" s="21" t="s">
        <v>111</v>
      </c>
      <c r="L14" s="3">
        <v>126570</v>
      </c>
    </row>
    <row r="15" spans="2:27" x14ac:dyDescent="0.25">
      <c r="B15" s="21" t="s">
        <v>29</v>
      </c>
      <c r="C15" s="5">
        <v>0.81034482758620685</v>
      </c>
    </row>
    <row r="16" spans="2:27" x14ac:dyDescent="0.25">
      <c r="B16" s="21" t="s">
        <v>111</v>
      </c>
      <c r="C16" s="5">
        <v>7.1522169706652461</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BA140-F545-4E28-B0D0-FA230C76D00E}">
  <dimension ref="A1:U4"/>
  <sheetViews>
    <sheetView showGridLines="0" tabSelected="1" topLeftCell="A2" zoomScale="93" zoomScaleNormal="93" workbookViewId="0">
      <selection activeCell="Z35" sqref="Z35"/>
    </sheetView>
  </sheetViews>
  <sheetFormatPr defaultRowHeight="15" x14ac:dyDescent="0.25"/>
  <sheetData>
    <row r="1" spans="1:21" ht="15" customHeight="1" x14ac:dyDescent="0.25">
      <c r="A1" s="26" t="s">
        <v>118</v>
      </c>
      <c r="B1" s="26"/>
      <c r="C1" s="26"/>
      <c r="D1" s="26"/>
      <c r="E1" s="26"/>
      <c r="F1" s="26"/>
      <c r="G1" s="26"/>
      <c r="H1" s="26"/>
      <c r="I1" s="26"/>
      <c r="J1" s="26"/>
      <c r="K1" s="26"/>
      <c r="L1" s="26"/>
      <c r="M1" s="26"/>
      <c r="N1" s="26"/>
      <c r="O1" s="26"/>
      <c r="P1" s="26"/>
      <c r="Q1" s="26"/>
      <c r="R1" s="26"/>
      <c r="S1" s="26"/>
      <c r="T1" s="26"/>
      <c r="U1" s="26"/>
    </row>
    <row r="2" spans="1:21" ht="15" customHeight="1" x14ac:dyDescent="0.25">
      <c r="A2" s="26"/>
      <c r="B2" s="26"/>
      <c r="C2" s="26"/>
      <c r="D2" s="26"/>
      <c r="E2" s="26"/>
      <c r="F2" s="26"/>
      <c r="G2" s="26"/>
      <c r="H2" s="26"/>
      <c r="I2" s="26"/>
      <c r="J2" s="26"/>
      <c r="K2" s="26"/>
      <c r="L2" s="26"/>
      <c r="M2" s="26"/>
      <c r="N2" s="26"/>
      <c r="O2" s="26"/>
      <c r="P2" s="26"/>
      <c r="Q2" s="26"/>
      <c r="R2" s="26"/>
      <c r="S2" s="26"/>
      <c r="T2" s="26"/>
      <c r="U2" s="26"/>
    </row>
    <row r="3" spans="1:21" ht="15" customHeight="1" x14ac:dyDescent="0.25">
      <c r="A3" s="26"/>
      <c r="B3" s="26"/>
      <c r="C3" s="26"/>
      <c r="D3" s="26"/>
      <c r="E3" s="26"/>
      <c r="F3" s="26"/>
      <c r="G3" s="26"/>
      <c r="H3" s="26"/>
      <c r="I3" s="26"/>
      <c r="J3" s="26"/>
      <c r="K3" s="26"/>
      <c r="L3" s="26"/>
      <c r="M3" s="26"/>
      <c r="N3" s="26"/>
      <c r="O3" s="26"/>
      <c r="P3" s="26"/>
      <c r="Q3" s="26"/>
      <c r="R3" s="26"/>
      <c r="S3" s="26"/>
      <c r="T3" s="26"/>
      <c r="U3" s="26"/>
    </row>
    <row r="4" spans="1:21" ht="15" customHeight="1" x14ac:dyDescent="0.25">
      <c r="A4" s="26"/>
      <c r="B4" s="26"/>
      <c r="C4" s="26"/>
      <c r="D4" s="26"/>
      <c r="E4" s="26"/>
      <c r="F4" s="26"/>
      <c r="G4" s="26"/>
      <c r="H4" s="26"/>
      <c r="I4" s="26"/>
      <c r="J4" s="26"/>
      <c r="K4" s="26"/>
      <c r="L4" s="26"/>
      <c r="M4" s="26"/>
      <c r="N4" s="26"/>
      <c r="O4" s="26"/>
      <c r="P4" s="26"/>
      <c r="Q4" s="26"/>
      <c r="R4" s="26"/>
      <c r="S4" s="26"/>
      <c r="T4" s="26"/>
      <c r="U4" s="26"/>
    </row>
  </sheetData>
  <mergeCells count="1">
    <mergeCell ref="A1: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rachelle fraga</dc:creator>
  <cp:lastModifiedBy>rachelle fraga</cp:lastModifiedBy>
  <dcterms:created xsi:type="dcterms:W3CDTF">2026-05-01T13:08:20Z</dcterms:created>
  <dcterms:modified xsi:type="dcterms:W3CDTF">2026-05-02T14:54:07Z</dcterms:modified>
</cp:coreProperties>
</file>